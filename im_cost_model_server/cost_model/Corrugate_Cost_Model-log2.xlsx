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packforallp-my.sharepoint.com/personal/minoti_banerjee_packfora_com/Documents/Unilever Cost Model/2. Models/Corrugate/"/>
    </mc:Choice>
  </mc:AlternateContent>
  <xr:revisionPtr revIDLastSave="177" documentId="8_{B5327252-811E-4C77-B634-323B493602F1}" xr6:coauthVersionLast="47" xr6:coauthVersionMax="47" xr10:uidLastSave="{0E3CF05E-1633-4C1D-AAC1-CA74291D497D}"/>
  <bookViews>
    <workbookView xWindow="-98" yWindow="-98" windowWidth="21795" windowHeight="12975" activeTab="3" xr2:uid="{58AC1AF3-B6BD-4B85-8F8F-BED58A9BBD66}"/>
  </bookViews>
  <sheets>
    <sheet name="summary" sheetId="1" r:id="rId1"/>
    <sheet name="input" sheetId="2" r:id="rId2"/>
    <sheet name="material" sheetId="3" r:id="rId3"/>
    <sheet name="conversion" sheetId="4" r:id="rId4"/>
    <sheet name="backup" sheetId="5" r:id="rId5"/>
    <sheet name="Database" sheetId="6" r:id="rId6"/>
    <sheet name="logs" sheetId="7" r:id="rId7"/>
  </sheets>
  <externalReferences>
    <externalReference r:id="rId8"/>
  </externalReferences>
  <definedNames>
    <definedName name="_xlnm._FilterDatabase" localSheetId="3" hidden="1">conversion!$B$414:$D$463</definedName>
    <definedName name="Ancillary">backup!$B$20:$C$29</definedName>
    <definedName name="Area_EBM">backup!$B$4:$C$17</definedName>
    <definedName name="_xlnm.Database">Database!$A$3:$U$38</definedName>
    <definedName name="Dep_Sch_Others">conversion!$A$368:$D$403</definedName>
    <definedName name="Depreciation_Schedule">conversion!$A$266:$D$301</definedName>
    <definedName name="Interest_Sch_Others">conversion!$A$407:$D$463</definedName>
    <definedName name="Interest_Schedule">conversion!$A$306:$D$363</definedName>
    <definedName name="Machine_details">backup!$B$1:$Q$118</definedName>
    <definedName name="Machines">backup!$D$32:$L$77</definedName>
    <definedName name="SKU_Data">input!$A$10:$C$127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7" l="1"/>
  <c r="A4" i="7"/>
  <c r="P19" i="6" l="1" a="1"/>
  <c r="P19" i="6" s="1"/>
  <c r="P18" i="6" a="1"/>
  <c r="P18" i="6" s="1"/>
  <c r="P17" i="6" a="1"/>
  <c r="P17" i="6" s="1"/>
  <c r="P16" i="6" a="1"/>
  <c r="P16" i="6" s="1"/>
  <c r="P15" i="6" a="1"/>
  <c r="P15" i="6" s="1"/>
  <c r="P14" i="6" a="1"/>
  <c r="P14" i="6" s="1"/>
  <c r="P13" i="6" a="1"/>
  <c r="P13" i="6" s="1"/>
  <c r="P12" i="6" a="1"/>
  <c r="P12" i="6" s="1"/>
  <c r="P11" i="6" a="1"/>
  <c r="P11" i="6" s="1"/>
  <c r="P10" i="6" a="1"/>
  <c r="P10" i="6" s="1"/>
  <c r="P9" i="6" a="1"/>
  <c r="P9" i="6" s="1"/>
  <c r="P8" i="6" a="1"/>
  <c r="P8" i="6" s="1"/>
  <c r="P7" i="6" a="1"/>
  <c r="P7" i="6" s="1"/>
  <c r="P6" i="6" a="1"/>
  <c r="P6" i="6" s="1"/>
  <c r="P5" i="6" a="1"/>
  <c r="P5" i="6" s="1"/>
  <c r="O19" i="6" a="1"/>
  <c r="O19" i="6" s="1"/>
  <c r="O18" i="6" a="1"/>
  <c r="O18" i="6" s="1"/>
  <c r="O17" i="6" a="1"/>
  <c r="O17" i="6" s="1"/>
  <c r="O16" i="6" a="1"/>
  <c r="O16" i="6" s="1"/>
  <c r="O15" i="6" a="1"/>
  <c r="O15" i="6" s="1"/>
  <c r="O14" i="6" a="1"/>
  <c r="O14" i="6" s="1"/>
  <c r="O13" i="6" a="1"/>
  <c r="O13" i="6" s="1"/>
  <c r="O12" i="6" a="1"/>
  <c r="O12" i="6" s="1"/>
  <c r="O11" i="6" a="1"/>
  <c r="O11" i="6" s="1"/>
  <c r="O10" i="6" a="1"/>
  <c r="O10" i="6" s="1"/>
  <c r="O9" i="6" a="1"/>
  <c r="O9" i="6" s="1"/>
  <c r="O8" i="6" a="1"/>
  <c r="O8" i="6" s="1"/>
  <c r="O7" i="6" a="1"/>
  <c r="O7" i="6" s="1"/>
  <c r="O6" i="6" a="1"/>
  <c r="O6" i="6" s="1"/>
  <c r="O5" i="6" a="1"/>
  <c r="O5" i="6" s="1"/>
  <c r="N19" i="6" a="1"/>
  <c r="N19" i="6" s="1"/>
  <c r="N18" i="6" a="1"/>
  <c r="N18" i="6" s="1"/>
  <c r="N17" i="6" a="1"/>
  <c r="N17" i="6" s="1"/>
  <c r="N16" i="6" a="1"/>
  <c r="N16" i="6" s="1"/>
  <c r="N15" i="6" a="1"/>
  <c r="N15" i="6" s="1"/>
  <c r="N14" i="6" a="1"/>
  <c r="N14" i="6" s="1"/>
  <c r="N13" i="6" a="1"/>
  <c r="N13" i="6" s="1"/>
  <c r="N12" i="6" a="1"/>
  <c r="N12" i="6" s="1"/>
  <c r="N11" i="6" a="1"/>
  <c r="N11" i="6" s="1"/>
  <c r="N10" i="6" a="1"/>
  <c r="N10" i="6" s="1"/>
  <c r="N9" i="6" a="1"/>
  <c r="N9" i="6" s="1"/>
  <c r="N8" i="6" a="1"/>
  <c r="N8" i="6" s="1"/>
  <c r="N7" i="6" a="1"/>
  <c r="N7" i="6" s="1"/>
  <c r="N6" i="6" a="1"/>
  <c r="N6" i="6" s="1"/>
  <c r="N5" i="6" a="1"/>
  <c r="N5" i="6" s="1"/>
  <c r="M19" i="6" a="1"/>
  <c r="M19" i="6" s="1"/>
  <c r="M18" i="6" a="1"/>
  <c r="M18" i="6" s="1"/>
  <c r="M17" i="6" a="1"/>
  <c r="M17" i="6" s="1"/>
  <c r="M16" i="6" a="1"/>
  <c r="M16" i="6" s="1"/>
  <c r="M15" i="6" a="1"/>
  <c r="M15" i="6" s="1"/>
  <c r="M14" i="6" a="1"/>
  <c r="M14" i="6" s="1"/>
  <c r="M13" i="6" a="1"/>
  <c r="M13" i="6" s="1"/>
  <c r="M12" i="6" a="1"/>
  <c r="M12" i="6" s="1"/>
  <c r="M11" i="6" a="1"/>
  <c r="M11" i="6" s="1"/>
  <c r="M10" i="6" a="1"/>
  <c r="M10" i="6" s="1"/>
  <c r="M9" i="6" a="1"/>
  <c r="M9" i="6" s="1"/>
  <c r="M8" i="6" a="1"/>
  <c r="M8" i="6" s="1"/>
  <c r="M7" i="6" a="1"/>
  <c r="M7" i="6" s="1"/>
  <c r="M6" i="6" a="1"/>
  <c r="M6" i="6" s="1"/>
  <c r="M5" i="6" a="1"/>
  <c r="M5" i="6" s="1"/>
  <c r="L19" i="6" a="1"/>
  <c r="L19" i="6" s="1"/>
  <c r="L18" i="6" a="1"/>
  <c r="L18" i="6" s="1"/>
  <c r="L17" i="6" a="1"/>
  <c r="L17" i="6" s="1"/>
  <c r="L16" i="6" a="1"/>
  <c r="L16" i="6" s="1"/>
  <c r="L15" i="6" a="1"/>
  <c r="L15" i="6" s="1"/>
  <c r="L14" i="6" a="1"/>
  <c r="L14" i="6" s="1"/>
  <c r="L13" i="6" a="1"/>
  <c r="L13" i="6" s="1"/>
  <c r="L12" i="6" a="1"/>
  <c r="L12" i="6" s="1"/>
  <c r="L11" i="6" a="1"/>
  <c r="L11" i="6" s="1"/>
  <c r="L10" i="6" a="1"/>
  <c r="L10" i="6" s="1"/>
  <c r="L9" i="6" a="1"/>
  <c r="L9" i="6" s="1"/>
  <c r="L8" i="6" a="1"/>
  <c r="L8" i="6" s="1"/>
  <c r="L7" i="6" a="1"/>
  <c r="L7" i="6" s="1"/>
  <c r="L6" i="6" a="1"/>
  <c r="L6" i="6" s="1"/>
  <c r="L5" i="6" a="1"/>
  <c r="L5" i="6" s="1"/>
  <c r="K19" i="6" a="1"/>
  <c r="K19" i="6" s="1"/>
  <c r="K18" i="6" a="1"/>
  <c r="K18" i="6" s="1"/>
  <c r="K17" i="6" a="1"/>
  <c r="K17" i="6" s="1"/>
  <c r="K16" i="6" a="1"/>
  <c r="K16" i="6" s="1"/>
  <c r="K15" i="6" a="1"/>
  <c r="K15" i="6" s="1"/>
  <c r="K14" i="6" a="1"/>
  <c r="K14" i="6" s="1"/>
  <c r="K13" i="6" a="1"/>
  <c r="K13" i="6" s="1"/>
  <c r="K12" i="6" a="1"/>
  <c r="K12" i="6" s="1"/>
  <c r="K11" i="6" a="1"/>
  <c r="K11" i="6" s="1"/>
  <c r="K10" i="6" a="1"/>
  <c r="K10" i="6" s="1"/>
  <c r="K9" i="6" a="1"/>
  <c r="K9" i="6" s="1"/>
  <c r="K8" i="6" a="1"/>
  <c r="K8" i="6" s="1"/>
  <c r="K7" i="6" a="1"/>
  <c r="K7" i="6" s="1"/>
  <c r="K6" i="6" a="1"/>
  <c r="K6" i="6" s="1"/>
  <c r="K5" i="6" a="1"/>
  <c r="K5" i="6" s="1"/>
  <c r="J19" i="6" a="1"/>
  <c r="J19" i="6" s="1"/>
  <c r="J18" i="6" a="1"/>
  <c r="J18" i="6" s="1"/>
  <c r="J17" i="6" a="1"/>
  <c r="J17" i="6" s="1"/>
  <c r="J16" i="6" a="1"/>
  <c r="J16" i="6" s="1"/>
  <c r="J15" i="6" a="1"/>
  <c r="J15" i="6" s="1"/>
  <c r="J14" i="6" a="1"/>
  <c r="J14" i="6" s="1"/>
  <c r="J13" i="6" a="1"/>
  <c r="J13" i="6" s="1"/>
  <c r="J12" i="6" a="1"/>
  <c r="J12" i="6" s="1"/>
  <c r="J11" i="6" a="1"/>
  <c r="J11" i="6" s="1"/>
  <c r="J10" i="6" a="1"/>
  <c r="J10" i="6" s="1"/>
  <c r="J9" i="6" a="1"/>
  <c r="J9" i="6" s="1"/>
  <c r="J8" i="6" a="1"/>
  <c r="J8" i="6" s="1"/>
  <c r="J7" i="6" a="1"/>
  <c r="J7" i="6" s="1"/>
  <c r="J6" i="6" a="1"/>
  <c r="J6" i="6" s="1"/>
  <c r="J5" i="6" a="1"/>
  <c r="J5" i="6" s="1"/>
  <c r="I19" i="6" a="1"/>
  <c r="I19" i="6" s="1"/>
  <c r="I18" i="6" a="1"/>
  <c r="I18" i="6" s="1"/>
  <c r="I17" i="6" a="1"/>
  <c r="I17" i="6" s="1"/>
  <c r="I16" i="6" a="1"/>
  <c r="I16" i="6" s="1"/>
  <c r="I15" i="6" a="1"/>
  <c r="I15" i="6" s="1"/>
  <c r="I14" i="6" a="1"/>
  <c r="I14" i="6" s="1"/>
  <c r="I13" i="6" a="1"/>
  <c r="I13" i="6" s="1"/>
  <c r="I12" i="6" a="1"/>
  <c r="I12" i="6" s="1"/>
  <c r="I11" i="6" a="1"/>
  <c r="I11" i="6" s="1"/>
  <c r="I10" i="6" a="1"/>
  <c r="I10" i="6" s="1"/>
  <c r="I9" i="6" a="1"/>
  <c r="I9" i="6" s="1"/>
  <c r="I8" i="6" a="1"/>
  <c r="I8" i="6" s="1"/>
  <c r="I7" i="6" a="1"/>
  <c r="I7" i="6" s="1"/>
  <c r="I6" i="6" a="1"/>
  <c r="I6" i="6" s="1"/>
  <c r="I5" i="6" a="1"/>
  <c r="I5" i="6" s="1"/>
  <c r="H19" i="6" a="1"/>
  <c r="H19" i="6" s="1"/>
  <c r="H18" i="6" a="1"/>
  <c r="H18" i="6" s="1"/>
  <c r="H17" i="6" a="1"/>
  <c r="H17" i="6" s="1"/>
  <c r="H16" i="6" a="1"/>
  <c r="H16" i="6" s="1"/>
  <c r="H15" i="6" a="1"/>
  <c r="H15" i="6" s="1"/>
  <c r="H14" i="6" a="1"/>
  <c r="H14" i="6" s="1"/>
  <c r="H13" i="6" a="1"/>
  <c r="H13" i="6" s="1"/>
  <c r="H12" i="6" a="1"/>
  <c r="H12" i="6" s="1"/>
  <c r="H11" i="6" a="1"/>
  <c r="H11" i="6" s="1"/>
  <c r="H10" i="6" a="1"/>
  <c r="H10" i="6" s="1"/>
  <c r="H9" i="6" a="1"/>
  <c r="H9" i="6" s="1"/>
  <c r="H8" i="6" a="1"/>
  <c r="H8" i="6" s="1"/>
  <c r="H7" i="6" a="1"/>
  <c r="H7" i="6" s="1"/>
  <c r="H6" i="6" a="1"/>
  <c r="H6" i="6" s="1"/>
  <c r="H5" i="6" a="1"/>
  <c r="H5" i="6" s="1"/>
  <c r="G19" i="6" a="1"/>
  <c r="G19" i="6" s="1"/>
  <c r="G18" i="6" a="1"/>
  <c r="G18" i="6" s="1"/>
  <c r="G17" i="6" a="1"/>
  <c r="G17" i="6" s="1"/>
  <c r="G16" i="6" a="1"/>
  <c r="G16" i="6" s="1"/>
  <c r="G15" i="6" a="1"/>
  <c r="G15" i="6" s="1"/>
  <c r="G14" i="6" a="1"/>
  <c r="G14" i="6" s="1"/>
  <c r="G13" i="6" a="1"/>
  <c r="G13" i="6" s="1"/>
  <c r="G12" i="6" a="1"/>
  <c r="G12" i="6" s="1"/>
  <c r="G11" i="6" a="1"/>
  <c r="G11" i="6" s="1"/>
  <c r="G10" i="6" a="1"/>
  <c r="G10" i="6" s="1"/>
  <c r="G9" i="6" a="1"/>
  <c r="G9" i="6" s="1"/>
  <c r="G8" i="6" a="1"/>
  <c r="G8" i="6" s="1"/>
  <c r="G7" i="6" a="1"/>
  <c r="G7" i="6" s="1"/>
  <c r="G6" i="6" a="1"/>
  <c r="G6" i="6" s="1"/>
  <c r="G5" i="6" a="1"/>
  <c r="G5" i="6" s="1"/>
  <c r="F19" i="6" a="1"/>
  <c r="F19" i="6" s="1"/>
  <c r="F18" i="6" a="1"/>
  <c r="F18" i="6" s="1"/>
  <c r="F17" i="6" a="1"/>
  <c r="F17" i="6" s="1"/>
  <c r="F16" i="6" a="1"/>
  <c r="F16" i="6" s="1"/>
  <c r="F15" i="6" a="1"/>
  <c r="F15" i="6" s="1"/>
  <c r="F14" i="6" a="1"/>
  <c r="F14" i="6" s="1"/>
  <c r="F13" i="6" a="1"/>
  <c r="F13" i="6" s="1"/>
  <c r="F12" i="6" a="1"/>
  <c r="F12" i="6" s="1"/>
  <c r="F11" i="6" a="1"/>
  <c r="F11" i="6" s="1"/>
  <c r="F10" i="6" a="1"/>
  <c r="F10" i="6" s="1"/>
  <c r="F9" i="6" a="1"/>
  <c r="F9" i="6" s="1"/>
  <c r="F8" i="6" a="1"/>
  <c r="F8" i="6" s="1"/>
  <c r="F7" i="6" a="1"/>
  <c r="F7" i="6" s="1"/>
  <c r="F6" i="6" a="1"/>
  <c r="F6" i="6" s="1"/>
  <c r="F5" i="6" a="1"/>
  <c r="F5" i="6" s="1"/>
  <c r="P4" i="6" a="1"/>
  <c r="P4" i="6" s="1"/>
  <c r="O4" i="6" a="1"/>
  <c r="O4" i="6" s="1"/>
  <c r="N4" i="6" a="1"/>
  <c r="N4" i="6" s="1"/>
  <c r="M4" i="6" a="1"/>
  <c r="M4" i="6" s="1"/>
  <c r="L4" i="6" a="1"/>
  <c r="L4" i="6" s="1"/>
  <c r="K4" i="6" a="1"/>
  <c r="K4" i="6" s="1"/>
  <c r="J4" i="6" a="1"/>
  <c r="J4" i="6" s="1"/>
  <c r="I4" i="6" a="1"/>
  <c r="I4" i="6" s="1"/>
  <c r="H4" i="6" a="1"/>
  <c r="H4" i="6" s="1"/>
  <c r="G4" i="6" a="1"/>
  <c r="G4" i="6" s="1"/>
  <c r="F4" i="6" a="1"/>
  <c r="F4" i="6" s="1"/>
  <c r="E19" i="6" a="1"/>
  <c r="E19" i="6" s="1"/>
  <c r="E18" i="6" a="1"/>
  <c r="E18" i="6" s="1"/>
  <c r="E17" i="6" a="1"/>
  <c r="E17" i="6" s="1"/>
  <c r="E16" i="6" a="1"/>
  <c r="E16" i="6" s="1"/>
  <c r="E15" i="6" a="1"/>
  <c r="E15" i="6" s="1"/>
  <c r="E14" i="6" a="1"/>
  <c r="E14" i="6" s="1"/>
  <c r="E13" i="6" a="1"/>
  <c r="E13" i="6" s="1"/>
  <c r="E12" i="6" a="1"/>
  <c r="E12" i="6" s="1"/>
  <c r="E11" i="6" a="1"/>
  <c r="E11" i="6" s="1"/>
  <c r="E10" i="6" a="1"/>
  <c r="E10" i="6" s="1"/>
  <c r="E9" i="6" a="1"/>
  <c r="E9" i="6" s="1"/>
  <c r="E8" i="6" a="1"/>
  <c r="E8" i="6" s="1"/>
  <c r="E7" i="6" a="1"/>
  <c r="E7" i="6" s="1"/>
  <c r="E6" i="6" a="1"/>
  <c r="E6" i="6" s="1"/>
  <c r="E5" i="6" a="1"/>
  <c r="E5" i="6" s="1"/>
  <c r="E4" i="6" a="1"/>
  <c r="E4" i="6" s="1"/>
  <c r="D19" i="6" a="1"/>
  <c r="D19" i="6" s="1"/>
  <c r="D18" i="6" a="1"/>
  <c r="D18" i="6" s="1"/>
  <c r="D17" i="6" a="1"/>
  <c r="D17" i="6" s="1"/>
  <c r="D16" i="6" a="1"/>
  <c r="D16" i="6" s="1"/>
  <c r="D15" i="6" a="1"/>
  <c r="D15" i="6" s="1"/>
  <c r="D14" i="6" a="1"/>
  <c r="D14" i="6" s="1"/>
  <c r="D13" i="6" a="1"/>
  <c r="D13" i="6" s="1"/>
  <c r="D12" i="6" a="1"/>
  <c r="D12" i="6" s="1"/>
  <c r="D11" i="6" a="1"/>
  <c r="D11" i="6" s="1"/>
  <c r="D10" i="6" a="1"/>
  <c r="D10" i="6" s="1"/>
  <c r="D9" i="6" a="1"/>
  <c r="D9" i="6" s="1"/>
  <c r="D8" i="6" a="1"/>
  <c r="D8" i="6" s="1"/>
  <c r="D7" i="6" a="1"/>
  <c r="D7" i="6" s="1"/>
  <c r="D6" i="6" a="1"/>
  <c r="D6" i="6" s="1"/>
  <c r="D5" i="6" a="1"/>
  <c r="D5" i="6" s="1"/>
  <c r="D4" i="6" a="1"/>
  <c r="D4" i="6" s="1"/>
  <c r="A1" i="6" l="1"/>
  <c r="C103" i="2"/>
  <c r="C102" i="2"/>
  <c r="C81" i="2"/>
  <c r="C80" i="2"/>
  <c r="C76" i="2"/>
  <c r="C75" i="2"/>
  <c r="C74" i="2"/>
  <c r="C70" i="2"/>
  <c r="C69" i="2"/>
  <c r="C62" i="2"/>
  <c r="C61" i="2"/>
  <c r="C60" i="2"/>
  <c r="C57" i="2"/>
  <c r="C5" i="2"/>
  <c r="L65" i="5" l="1"/>
  <c r="L41" i="5"/>
  <c r="L67" i="5"/>
  <c r="L44" i="5"/>
  <c r="L69" i="5"/>
  <c r="L50" i="5"/>
  <c r="L46" i="5"/>
  <c r="L71" i="5"/>
  <c r="L52" i="5"/>
  <c r="L48" i="5"/>
  <c r="L77" i="5"/>
  <c r="L64" i="5"/>
  <c r="L66" i="5"/>
  <c r="L42" i="5"/>
  <c r="L43" i="5"/>
  <c r="L68" i="5"/>
  <c r="L45" i="5"/>
  <c r="L70" i="5"/>
  <c r="L51" i="5"/>
  <c r="L47" i="5"/>
  <c r="L72" i="5"/>
  <c r="L57" i="5"/>
  <c r="L34" i="5"/>
  <c r="L53" i="5"/>
  <c r="L73" i="5"/>
  <c r="L49" i="5"/>
  <c r="L54" i="5"/>
  <c r="L74" i="5"/>
  <c r="L33" i="5"/>
  <c r="L55" i="5"/>
  <c r="L75" i="5"/>
  <c r="L56" i="5"/>
  <c r="L76" i="5"/>
  <c r="L58" i="5"/>
  <c r="L40" i="5"/>
  <c r="L59" i="5"/>
  <c r="L35" i="5"/>
  <c r="L60" i="5"/>
  <c r="L36" i="5"/>
  <c r="L61" i="5"/>
  <c r="L37" i="5"/>
  <c r="L62" i="5"/>
  <c r="L38" i="5"/>
  <c r="L63" i="5"/>
  <c r="L39" i="5"/>
  <c r="E139" i="5"/>
  <c r="W3" i="6"/>
  <c r="E219" i="4"/>
  <c r="E218" i="4"/>
  <c r="E217" i="4"/>
  <c r="E211" i="4" l="1"/>
  <c r="D26" i="3"/>
  <c r="D25" i="3"/>
  <c r="D21" i="3"/>
  <c r="D20" i="3"/>
  <c r="D19" i="3"/>
  <c r="D18" i="3"/>
  <c r="D17" i="3"/>
  <c r="D14" i="3"/>
  <c r="D13" i="3"/>
  <c r="D12" i="3"/>
  <c r="D10" i="3"/>
  <c r="D9" i="3"/>
  <c r="D8" i="3"/>
  <c r="D5" i="3"/>
  <c r="C40" i="3"/>
  <c r="J207" i="4"/>
  <c r="D139" i="5"/>
  <c r="G252" i="4"/>
  <c r="E20" i="5"/>
  <c r="D27" i="3" l="1"/>
  <c r="D21" i="4" s="1"/>
  <c r="D37" i="3"/>
  <c r="D28" i="3"/>
  <c r="D22" i="4" s="1"/>
  <c r="D23" i="3"/>
  <c r="D247" i="4"/>
  <c r="D30" i="3" l="1"/>
  <c r="D34" i="3" s="1"/>
  <c r="D36" i="3"/>
  <c r="C99" i="2"/>
  <c r="D35" i="3" l="1"/>
  <c r="D33" i="3"/>
  <c r="D170" i="4"/>
  <c r="D90" i="4"/>
  <c r="D76" i="4"/>
  <c r="D77" i="4"/>
  <c r="D78" i="4"/>
  <c r="D42" i="4"/>
  <c r="D199" i="4"/>
  <c r="D206" i="4"/>
  <c r="D205" i="4"/>
  <c r="E205" i="4"/>
  <c r="F205" i="4"/>
  <c r="G205" i="4"/>
  <c r="H205" i="4"/>
  <c r="B105" i="4"/>
  <c r="B106" i="4"/>
  <c r="B107" i="4"/>
  <c r="B108" i="4"/>
  <c r="B109" i="4"/>
  <c r="D16" i="4"/>
  <c r="D141" i="4" l="1"/>
  <c r="D81" i="4"/>
  <c r="D38" i="3"/>
  <c r="D179" i="4" s="1"/>
  <c r="D40" i="3"/>
  <c r="D43" i="4"/>
  <c r="E50" i="5"/>
  <c r="E49" i="5"/>
  <c r="E48" i="5"/>
  <c r="E47" i="5"/>
  <c r="E46" i="5"/>
  <c r="E45" i="5"/>
  <c r="E40" i="5"/>
  <c r="E36" i="5"/>
  <c r="E42" i="5"/>
  <c r="E41" i="5"/>
  <c r="E33" i="5"/>
  <c r="E39" i="5"/>
  <c r="E37" i="5"/>
  <c r="E34" i="5"/>
  <c r="E35" i="5"/>
  <c r="E54" i="5"/>
  <c r="E63" i="5"/>
  <c r="E64" i="5"/>
  <c r="E55" i="5"/>
  <c r="E62" i="5"/>
  <c r="E61" i="5"/>
  <c r="E58" i="5"/>
  <c r="E56" i="5"/>
  <c r="E60" i="5"/>
  <c r="E59" i="5"/>
  <c r="E57" i="5"/>
  <c r="E68" i="5"/>
  <c r="E67" i="5"/>
  <c r="E69" i="5"/>
  <c r="D91" i="4"/>
  <c r="D94" i="4" s="1"/>
  <c r="E71" i="5"/>
  <c r="E72" i="5"/>
  <c r="E76" i="5"/>
  <c r="E75" i="5"/>
  <c r="E74" i="5"/>
  <c r="D80" i="4"/>
  <c r="D140" i="4"/>
  <c r="C110" i="4"/>
  <c r="C109" i="4"/>
  <c r="D147" i="4"/>
  <c r="D142" i="4"/>
  <c r="D139" i="4"/>
  <c r="D138" i="4"/>
  <c r="D143" i="4" l="1"/>
  <c r="D144" i="4" s="1"/>
  <c r="D146" i="4" s="1"/>
  <c r="D148" i="4" s="1"/>
  <c r="C107" i="4" l="1"/>
  <c r="B15" i="2" l="1"/>
  <c r="B13" i="2"/>
  <c r="B12" i="2"/>
  <c r="F71" i="5" l="1"/>
  <c r="F66" i="5"/>
  <c r="F52" i="5"/>
  <c r="F44" i="5"/>
  <c r="F33" i="5"/>
  <c r="C44" i="3" l="1"/>
  <c r="B14" i="2" l="1"/>
  <c r="D23" i="4" l="1"/>
  <c r="D47" i="4" s="1"/>
  <c r="D57" i="4"/>
  <c r="D79" i="4" s="1"/>
  <c r="D45" i="4"/>
  <c r="D92" i="4" l="1"/>
  <c r="D66" i="4"/>
  <c r="D44" i="4"/>
  <c r="D58" i="4" s="1"/>
  <c r="C95" i="5" l="1"/>
  <c r="F81" i="5"/>
  <c r="F80" i="5"/>
  <c r="F79" i="5"/>
  <c r="C463" i="4"/>
  <c r="C462" i="4"/>
  <c r="C461" i="4"/>
  <c r="C460" i="4"/>
  <c r="C458" i="4"/>
  <c r="C457" i="4"/>
  <c r="C456" i="4"/>
  <c r="C455" i="4"/>
  <c r="C453" i="4"/>
  <c r="C452" i="4"/>
  <c r="C451" i="4"/>
  <c r="C450" i="4"/>
  <c r="C448" i="4"/>
  <c r="C447" i="4"/>
  <c r="C446" i="4"/>
  <c r="C445" i="4"/>
  <c r="C443" i="4"/>
  <c r="C442" i="4"/>
  <c r="C441" i="4"/>
  <c r="C440" i="4"/>
  <c r="C438" i="4"/>
  <c r="C437" i="4"/>
  <c r="C436" i="4"/>
  <c r="C435" i="4"/>
  <c r="C433" i="4"/>
  <c r="C432" i="4"/>
  <c r="C431" i="4"/>
  <c r="C430" i="4"/>
  <c r="C428" i="4"/>
  <c r="C427" i="4"/>
  <c r="C426" i="4"/>
  <c r="C425" i="4"/>
  <c r="C423" i="4"/>
  <c r="C422" i="4"/>
  <c r="C421" i="4"/>
  <c r="A421" i="4"/>
  <c r="A426" i="4" s="1"/>
  <c r="A431" i="4" s="1"/>
  <c r="A436" i="4" s="1"/>
  <c r="C420" i="4"/>
  <c r="C418" i="4"/>
  <c r="C417" i="4"/>
  <c r="C416" i="4"/>
  <c r="C415" i="4"/>
  <c r="C413" i="4"/>
  <c r="D410" i="4"/>
  <c r="C408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A376" i="4"/>
  <c r="A378" i="4" s="1"/>
  <c r="A380" i="4" s="1"/>
  <c r="A382" i="4" s="1"/>
  <c r="A384" i="4" s="1"/>
  <c r="A386" i="4" s="1"/>
  <c r="A388" i="4" s="1"/>
  <c r="A390" i="4" s="1"/>
  <c r="A392" i="4" s="1"/>
  <c r="A394" i="4" s="1"/>
  <c r="A396" i="4" s="1"/>
  <c r="A398" i="4" s="1"/>
  <c r="A400" i="4" s="1"/>
  <c r="A402" i="4" s="1"/>
  <c r="C375" i="4"/>
  <c r="C374" i="4"/>
  <c r="C373" i="4"/>
  <c r="C372" i="4"/>
  <c r="D371" i="4"/>
  <c r="C371" i="4"/>
  <c r="C369" i="4"/>
  <c r="C363" i="4"/>
  <c r="C362" i="4"/>
  <c r="C361" i="4"/>
  <c r="C360" i="4"/>
  <c r="C358" i="4"/>
  <c r="C357" i="4"/>
  <c r="C356" i="4"/>
  <c r="C355" i="4"/>
  <c r="C353" i="4"/>
  <c r="C352" i="4"/>
  <c r="C351" i="4"/>
  <c r="C350" i="4"/>
  <c r="C348" i="4"/>
  <c r="C347" i="4"/>
  <c r="C346" i="4"/>
  <c r="C345" i="4"/>
  <c r="C343" i="4"/>
  <c r="C342" i="4"/>
  <c r="C341" i="4"/>
  <c r="C340" i="4"/>
  <c r="C338" i="4"/>
  <c r="C337" i="4"/>
  <c r="C336" i="4"/>
  <c r="C335" i="4"/>
  <c r="C333" i="4"/>
  <c r="C332" i="4"/>
  <c r="C331" i="4"/>
  <c r="C330" i="4"/>
  <c r="C328" i="4"/>
  <c r="C327" i="4"/>
  <c r="C326" i="4"/>
  <c r="C325" i="4"/>
  <c r="C323" i="4"/>
  <c r="C322" i="4"/>
  <c r="C321" i="4"/>
  <c r="A321" i="4"/>
  <c r="A326" i="4" s="1"/>
  <c r="A331" i="4" s="1"/>
  <c r="A336" i="4" s="1"/>
  <c r="A341" i="4" s="1"/>
  <c r="A346" i="4" s="1"/>
  <c r="A351" i="4" s="1"/>
  <c r="A356" i="4" s="1"/>
  <c r="A361" i="4" s="1"/>
  <c r="C320" i="4"/>
  <c r="C318" i="4"/>
  <c r="C317" i="4"/>
  <c r="C316" i="4"/>
  <c r="C315" i="4"/>
  <c r="C313" i="4"/>
  <c r="D310" i="4"/>
  <c r="C308" i="4"/>
  <c r="C301" i="4"/>
  <c r="C300" i="4"/>
  <c r="C299" i="4"/>
  <c r="C298" i="4"/>
  <c r="C297" i="4"/>
  <c r="C296" i="4"/>
  <c r="C295" i="4"/>
  <c r="C294" i="4"/>
  <c r="C293" i="4"/>
  <c r="C292" i="4"/>
  <c r="C291" i="4"/>
  <c r="C290" i="4"/>
  <c r="C289" i="4"/>
  <c r="C288" i="4"/>
  <c r="C287" i="4"/>
  <c r="C286" i="4"/>
  <c r="C285" i="4"/>
  <c r="C284" i="4"/>
  <c r="C283" i="4"/>
  <c r="C282" i="4"/>
  <c r="C281" i="4"/>
  <c r="C280" i="4"/>
  <c r="C279" i="4"/>
  <c r="C278" i="4"/>
  <c r="C277" i="4"/>
  <c r="C276" i="4"/>
  <c r="C275" i="4"/>
  <c r="A275" i="4"/>
  <c r="A277" i="4" s="1"/>
  <c r="A279" i="4" s="1"/>
  <c r="A281" i="4" s="1"/>
  <c r="A283" i="4" s="1"/>
  <c r="A285" i="4" s="1"/>
  <c r="A287" i="4" s="1"/>
  <c r="A289" i="4" s="1"/>
  <c r="A291" i="4" s="1"/>
  <c r="A293" i="4" s="1"/>
  <c r="A295" i="4" s="1"/>
  <c r="A297" i="4" s="1"/>
  <c r="A299" i="4" s="1"/>
  <c r="A301" i="4" s="1"/>
  <c r="C274" i="4"/>
  <c r="C273" i="4"/>
  <c r="C272" i="4"/>
  <c r="C271" i="4"/>
  <c r="D270" i="4"/>
  <c r="C263" i="4"/>
  <c r="B262" i="4"/>
  <c r="B260" i="4"/>
  <c r="B259" i="4"/>
  <c r="C258" i="4"/>
  <c r="C257" i="4"/>
  <c r="C253" i="4"/>
  <c r="D252" i="4"/>
  <c r="C252" i="4"/>
  <c r="D251" i="4"/>
  <c r="C248" i="4"/>
  <c r="C247" i="4"/>
  <c r="C246" i="4"/>
  <c r="D245" i="4"/>
  <c r="C241" i="4"/>
  <c r="C240" i="4"/>
  <c r="C238" i="4"/>
  <c r="C237" i="4"/>
  <c r="C236" i="4"/>
  <c r="C235" i="4"/>
  <c r="C234" i="4"/>
  <c r="C232" i="4"/>
  <c r="C230" i="4"/>
  <c r="C229" i="4"/>
  <c r="C228" i="4"/>
  <c r="D225" i="4"/>
  <c r="D231" i="4" s="1"/>
  <c r="E224" i="4"/>
  <c r="C221" i="4"/>
  <c r="E220" i="4"/>
  <c r="C220" i="4"/>
  <c r="C219" i="4"/>
  <c r="C218" i="4"/>
  <c r="C217" i="4"/>
  <c r="E216" i="4"/>
  <c r="C216" i="4"/>
  <c r="E215" i="4"/>
  <c r="C215" i="4"/>
  <c r="E214" i="4"/>
  <c r="C214" i="4"/>
  <c r="E213" i="4"/>
  <c r="C213" i="4"/>
  <c r="E212" i="4"/>
  <c r="C212" i="4"/>
  <c r="C211" i="4"/>
  <c r="C207" i="4"/>
  <c r="C206" i="4"/>
  <c r="C205" i="4"/>
  <c r="C204" i="4"/>
  <c r="C203" i="4"/>
  <c r="D189" i="4"/>
  <c r="D188" i="4"/>
  <c r="D187" i="4"/>
  <c r="C181" i="4"/>
  <c r="C180" i="4"/>
  <c r="C164" i="4"/>
  <c r="C163" i="4"/>
  <c r="C162" i="4"/>
  <c r="C157" i="4"/>
  <c r="C155" i="4"/>
  <c r="C153" i="4"/>
  <c r="C151" i="4"/>
  <c r="C150" i="4"/>
  <c r="C148" i="4"/>
  <c r="C147" i="4"/>
  <c r="C133" i="4"/>
  <c r="C132" i="4"/>
  <c r="D131" i="4"/>
  <c r="C129" i="4"/>
  <c r="C128" i="4"/>
  <c r="D127" i="4"/>
  <c r="C125" i="4"/>
  <c r="C124" i="4"/>
  <c r="C123" i="4"/>
  <c r="D122" i="4"/>
  <c r="C119" i="4"/>
  <c r="C118" i="4"/>
  <c r="D117" i="4"/>
  <c r="C115" i="4"/>
  <c r="C114" i="4"/>
  <c r="D113" i="4"/>
  <c r="C111" i="4"/>
  <c r="C108" i="4"/>
  <c r="C106" i="4"/>
  <c r="C105" i="4"/>
  <c r="C13" i="4"/>
  <c r="B13" i="4"/>
  <c r="D11" i="4"/>
  <c r="D10" i="4"/>
  <c r="D306" i="4" s="1"/>
  <c r="D4" i="3"/>
  <c r="D3" i="3"/>
  <c r="B62" i="2"/>
  <c r="B61" i="2"/>
  <c r="B60" i="2"/>
  <c r="B57" i="2"/>
  <c r="D31" i="1"/>
  <c r="C31" i="1"/>
  <c r="B4" i="1"/>
  <c r="B31" i="1" s="1"/>
  <c r="C3" i="1"/>
  <c r="B3" i="1"/>
  <c r="A3" i="1"/>
  <c r="D2" i="1"/>
  <c r="B2" i="1"/>
  <c r="A2" i="1"/>
  <c r="C1" i="1"/>
  <c r="B1" i="1"/>
  <c r="A1" i="1"/>
  <c r="D20" i="5" l="1"/>
  <c r="D55" i="4"/>
  <c r="D253" i="4"/>
  <c r="B29" i="1" s="1"/>
  <c r="D21" i="5" a="1"/>
  <c r="D21" i="5" s="1"/>
  <c r="E140" i="5"/>
  <c r="E141" i="5"/>
  <c r="F139" i="5"/>
  <c r="D246" i="4" s="1"/>
  <c r="D248" i="4" s="1"/>
  <c r="B28" i="1" s="1"/>
  <c r="D41" i="4"/>
  <c r="D307" i="4"/>
  <c r="D267" i="4"/>
  <c r="D260" i="4"/>
  <c r="D259" i="4"/>
  <c r="F82" i="5"/>
  <c r="D190" i="4"/>
  <c r="A441" i="4"/>
  <c r="A446" i="4" s="1"/>
  <c r="A451" i="4" s="1"/>
  <c r="A456" i="4" s="1"/>
  <c r="A461" i="4" s="1"/>
  <c r="B263" i="4"/>
  <c r="D262" i="4"/>
  <c r="E221" i="4"/>
  <c r="D266" i="4"/>
  <c r="D13" i="4"/>
  <c r="D172" i="4" s="1"/>
  <c r="D22" i="5" l="1"/>
  <c r="E21" i="5"/>
  <c r="D14" i="4"/>
  <c r="D82" i="4"/>
  <c r="D85" i="4" s="1"/>
  <c r="D46" i="4"/>
  <c r="D95" i="4"/>
  <c r="D56" i="4"/>
  <c r="D261" i="4"/>
  <c r="C29" i="1"/>
  <c r="B9" i="1"/>
  <c r="M34" i="1"/>
  <c r="M36" i="1" s="1"/>
  <c r="D166" i="4"/>
  <c r="B27" i="1"/>
  <c r="B8" i="1"/>
  <c r="C28" i="1"/>
  <c r="C9" i="1" l="1"/>
  <c r="E22" i="5"/>
  <c r="D23" i="5"/>
  <c r="D48" i="4"/>
  <c r="D173" i="4"/>
  <c r="D176" i="4" s="1"/>
  <c r="D175" i="4"/>
  <c r="D162" i="4" s="1"/>
  <c r="C27" i="1"/>
  <c r="B34" i="1"/>
  <c r="C34" i="1" s="1"/>
  <c r="C8" i="1"/>
  <c r="M37" i="1"/>
  <c r="D192" i="4"/>
  <c r="D24" i="5" l="1"/>
  <c r="E23" i="5"/>
  <c r="D123" i="4"/>
  <c r="D193" i="4"/>
  <c r="C7" i="5" s="1"/>
  <c r="D25" i="5" l="1"/>
  <c r="D27" i="5" s="1"/>
  <c r="E27" i="5" s="1"/>
  <c r="E24" i="5"/>
  <c r="C6" i="5"/>
  <c r="D195" i="4"/>
  <c r="D164" i="4" s="1"/>
  <c r="D125" i="4" s="1"/>
  <c r="D26" i="5" l="1"/>
  <c r="E25" i="5"/>
  <c r="D28" i="5" l="1"/>
  <c r="E26" i="5"/>
  <c r="C29" i="5"/>
  <c r="E28" i="5" l="1"/>
  <c r="E29" i="5" s="1"/>
  <c r="D18" i="4"/>
  <c r="D17" i="4"/>
  <c r="D68" i="4" l="1"/>
  <c r="D69" i="4" s="1"/>
  <c r="D71" i="4" s="1"/>
  <c r="D72" i="4" s="1"/>
  <c r="D59" i="4"/>
  <c r="D60" i="4" s="1"/>
  <c r="D62" i="4" s="1"/>
  <c r="D63" i="4" s="1"/>
  <c r="D98" i="4"/>
  <c r="D30" i="4"/>
  <c r="D33" i="4"/>
  <c r="D99" i="4" l="1"/>
  <c r="D100" i="4" s="1"/>
  <c r="D86" i="4"/>
  <c r="D87" i="4" s="1"/>
  <c r="D36" i="4"/>
  <c r="D49" i="4" s="1"/>
  <c r="D50" i="4" s="1"/>
  <c r="D38" i="4" s="1"/>
  <c r="D39" i="4" s="1"/>
  <c r="D105" i="4" s="1"/>
  <c r="D96" i="4"/>
  <c r="D97" i="4" s="1"/>
  <c r="D83" i="4"/>
  <c r="D84" i="4" s="1"/>
  <c r="E73" i="5" l="1"/>
  <c r="D109" i="4"/>
  <c r="E53" i="5"/>
  <c r="D107" i="4"/>
  <c r="D108" i="4"/>
  <c r="E66" i="5"/>
  <c r="E52" i="5"/>
  <c r="E38" i="5"/>
  <c r="D51" i="4"/>
  <c r="G200" i="4"/>
  <c r="F200" i="4"/>
  <c r="H200" i="4"/>
  <c r="D70" i="4"/>
  <c r="D61" i="4"/>
  <c r="D52" i="4" l="1"/>
  <c r="D110" i="4"/>
  <c r="D149" i="4"/>
  <c r="D74" i="4"/>
  <c r="D102" i="4" s="1"/>
  <c r="E200" i="4" l="1"/>
  <c r="D106" i="4"/>
  <c r="D237" i="4"/>
  <c r="E237" i="4" s="1"/>
  <c r="B18" i="1" s="1"/>
  <c r="D42" i="3"/>
  <c r="D44" i="3" s="1"/>
  <c r="D180" i="4" s="1"/>
  <c r="E44" i="5"/>
  <c r="C5" i="5" s="1"/>
  <c r="D200" i="4"/>
  <c r="D150" i="4"/>
  <c r="D151" i="4" l="1"/>
  <c r="F33" i="1" s="1"/>
  <c r="F36" i="1" s="1"/>
  <c r="I204" i="4"/>
  <c r="I203" i="4"/>
  <c r="B13" i="1"/>
  <c r="E32" i="1"/>
  <c r="E36" i="1" s="1"/>
  <c r="D111" i="4"/>
  <c r="C18" i="1"/>
  <c r="I206" i="4"/>
  <c r="I205" i="4"/>
  <c r="D268" i="4" l="1"/>
  <c r="B16" i="1"/>
  <c r="C13" i="1"/>
  <c r="C12" i="1" s="1"/>
  <c r="D132" i="4"/>
  <c r="D128" i="4"/>
  <c r="B12" i="1"/>
  <c r="I207" i="4"/>
  <c r="D153" i="4" s="1"/>
  <c r="G33" i="1" s="1"/>
  <c r="C16" i="1" l="1"/>
  <c r="F37" i="1"/>
  <c r="B5" i="1"/>
  <c r="B17" i="1"/>
  <c r="G36" i="1"/>
  <c r="E37" i="1" l="1"/>
  <c r="C5" i="1"/>
  <c r="D257" i="4"/>
  <c r="C17" i="1"/>
  <c r="G37" i="1"/>
  <c r="D308" i="4" l="1"/>
  <c r="D313" i="4" s="1"/>
  <c r="D133" i="4" l="1"/>
  <c r="D271" i="4"/>
  <c r="D272" i="4" s="1"/>
  <c r="D273" i="4" s="1"/>
  <c r="D274" i="4" s="1"/>
  <c r="D315" i="4"/>
  <c r="D316" i="4" s="1"/>
  <c r="D129" i="4"/>
  <c r="H33" i="1" s="1"/>
  <c r="I33" i="1" l="1"/>
  <c r="I36" i="1" s="1"/>
  <c r="B20" i="1"/>
  <c r="D317" i="4"/>
  <c r="D318" i="4" s="1"/>
  <c r="D320" i="4" s="1"/>
  <c r="D321" i="4" s="1"/>
  <c r="D322" i="4" s="1"/>
  <c r="D323" i="4" s="1"/>
  <c r="D325" i="4" s="1"/>
  <c r="B19" i="1"/>
  <c r="D275" i="4"/>
  <c r="D276" i="4" s="1"/>
  <c r="C20" i="1" l="1"/>
  <c r="I37" i="1"/>
  <c r="C19" i="1"/>
  <c r="H36" i="1"/>
  <c r="H37" i="1" s="1"/>
  <c r="D277" i="4"/>
  <c r="D278" i="4" s="1"/>
  <c r="D326" i="4"/>
  <c r="D327" i="4" s="1"/>
  <c r="D328" i="4" s="1"/>
  <c r="D330" i="4" s="1"/>
  <c r="D331" i="4" l="1"/>
  <c r="D332" i="4" s="1"/>
  <c r="D333" i="4" s="1"/>
  <c r="D335" i="4" s="1"/>
  <c r="D279" i="4"/>
  <c r="D280" i="4" s="1"/>
  <c r="D281" i="4" l="1"/>
  <c r="D114" i="4" s="1"/>
  <c r="D336" i="4"/>
  <c r="D118" i="4" s="1"/>
  <c r="D115" i="4" l="1"/>
  <c r="D282" i="4"/>
  <c r="D283" i="4" s="1"/>
  <c r="D284" i="4" s="1"/>
  <c r="D119" i="4"/>
  <c r="D337" i="4"/>
  <c r="D338" i="4" s="1"/>
  <c r="D340" i="4" s="1"/>
  <c r="D341" i="4" l="1"/>
  <c r="D342" i="4" s="1"/>
  <c r="D343" i="4" s="1"/>
  <c r="D345" i="4" s="1"/>
  <c r="D285" i="4"/>
  <c r="D286" i="4" s="1"/>
  <c r="D287" i="4" l="1"/>
  <c r="D288" i="4" s="1"/>
  <c r="D346" i="4"/>
  <c r="D347" i="4" s="1"/>
  <c r="D348" i="4" s="1"/>
  <c r="D350" i="4" s="1"/>
  <c r="D351" i="4" l="1"/>
  <c r="D352" i="4" s="1"/>
  <c r="D353" i="4" s="1"/>
  <c r="D355" i="4" s="1"/>
  <c r="D289" i="4"/>
  <c r="D290" i="4" s="1"/>
  <c r="D291" i="4" l="1"/>
  <c r="D292" i="4" s="1"/>
  <c r="D356" i="4"/>
  <c r="D357" i="4" s="1"/>
  <c r="D358" i="4" s="1"/>
  <c r="D360" i="4" s="1"/>
  <c r="D361" i="4" l="1"/>
  <c r="D362" i="4" s="1"/>
  <c r="D363" i="4" s="1"/>
  <c r="D293" i="4"/>
  <c r="D294" i="4" s="1"/>
  <c r="D295" i="4" l="1"/>
  <c r="D296" i="4" s="1"/>
  <c r="D297" i="4" l="1"/>
  <c r="D298" i="4" s="1"/>
  <c r="D299" i="4" l="1"/>
  <c r="D300" i="4" s="1"/>
  <c r="D301" i="4" s="1"/>
  <c r="C13" i="5" l="1"/>
  <c r="C12" i="5" l="1"/>
  <c r="C8" i="5"/>
  <c r="C9" i="5"/>
  <c r="C10" i="5"/>
  <c r="C11" i="5"/>
  <c r="C15" i="5" l="1"/>
  <c r="C17" i="5" s="1"/>
  <c r="D226" i="4" s="1"/>
  <c r="D227" i="4" l="1"/>
  <c r="D229" i="4" s="1"/>
  <c r="D241" i="4"/>
  <c r="D236" i="4"/>
  <c r="E236" i="4" s="1"/>
  <c r="D230" i="4"/>
  <c r="D228" i="4"/>
  <c r="D369" i="4" l="1"/>
  <c r="D372" i="4" s="1"/>
  <c r="D373" i="4" s="1"/>
  <c r="D238" i="4"/>
  <c r="E238" i="4" s="1"/>
  <c r="D232" i="4"/>
  <c r="J33" i="1"/>
  <c r="J36" i="1" s="1"/>
  <c r="B21" i="1"/>
  <c r="D408" i="4"/>
  <c r="C21" i="1" l="1"/>
  <c r="D374" i="4"/>
  <c r="D375" i="4" s="1"/>
  <c r="D415" i="4"/>
  <c r="D413" i="4"/>
  <c r="D416" i="4" l="1"/>
  <c r="D417" i="4" s="1"/>
  <c r="D418" i="4" s="1"/>
  <c r="D420" i="4" s="1"/>
  <c r="D376" i="4"/>
  <c r="D377" i="4" s="1"/>
  <c r="D378" i="4" l="1"/>
  <c r="D379" i="4" s="1"/>
  <c r="D421" i="4"/>
  <c r="D422" i="4" s="1"/>
  <c r="D423" i="4" s="1"/>
  <c r="D425" i="4" s="1"/>
  <c r="D426" i="4" l="1"/>
  <c r="D427" i="4" s="1"/>
  <c r="D428" i="4" s="1"/>
  <c r="D430" i="4" s="1"/>
  <c r="D380" i="4"/>
  <c r="D381" i="4" s="1"/>
  <c r="D382" i="4" l="1"/>
  <c r="D234" i="4" s="1"/>
  <c r="D431" i="4"/>
  <c r="D432" i="4" s="1"/>
  <c r="D433" i="4" s="1"/>
  <c r="D435" i="4" s="1"/>
  <c r="D383" i="4" l="1"/>
  <c r="D384" i="4" s="1"/>
  <c r="D385" i="4" s="1"/>
  <c r="D436" i="4"/>
  <c r="E234" i="4"/>
  <c r="D386" i="4" l="1"/>
  <c r="D387" i="4" s="1"/>
  <c r="B22" i="1"/>
  <c r="K33" i="1"/>
  <c r="D235" i="4"/>
  <c r="D437" i="4"/>
  <c r="D438" i="4" s="1"/>
  <c r="D440" i="4" s="1"/>
  <c r="D388" i="4" l="1"/>
  <c r="D389" i="4" s="1"/>
  <c r="C22" i="1"/>
  <c r="D441" i="4"/>
  <c r="D442" i="4" s="1"/>
  <c r="D443" i="4" s="1"/>
  <c r="D445" i="4" s="1"/>
  <c r="K36" i="1"/>
  <c r="K37" i="1" s="1"/>
  <c r="E235" i="4"/>
  <c r="D240" i="4"/>
  <c r="D155" i="4" s="1"/>
  <c r="D181" i="4" s="1"/>
  <c r="D163" i="4" s="1"/>
  <c r="D124" i="4" s="1"/>
  <c r="D157" i="4" s="1"/>
  <c r="D446" i="4" l="1"/>
  <c r="D447" i="4" s="1"/>
  <c r="D448" i="4" s="1"/>
  <c r="D450" i="4" s="1"/>
  <c r="D390" i="4"/>
  <c r="D391" i="4" s="1"/>
  <c r="L33" i="1"/>
  <c r="D258" i="4"/>
  <c r="D263" i="4" s="1"/>
  <c r="L32" i="1" s="1"/>
  <c r="D392" i="4" l="1"/>
  <c r="D393" i="4" s="1"/>
  <c r="N33" i="1"/>
  <c r="B33" i="1" s="1"/>
  <c r="L36" i="1"/>
  <c r="N32" i="1"/>
  <c r="B23" i="1"/>
  <c r="D451" i="4"/>
  <c r="D452" i="4" s="1"/>
  <c r="D453" i="4" s="1"/>
  <c r="D455" i="4" s="1"/>
  <c r="L37" i="1" l="1"/>
  <c r="C33" i="1"/>
  <c r="D394" i="4"/>
  <c r="D395" i="4" s="1"/>
  <c r="D456" i="4"/>
  <c r="D457" i="4" s="1"/>
  <c r="D458" i="4" s="1"/>
  <c r="D460" i="4" s="1"/>
  <c r="N36" i="1"/>
  <c r="C23" i="1"/>
  <c r="C15" i="1" s="1"/>
  <c r="B15" i="1"/>
  <c r="B32" i="1"/>
  <c r="D396" i="4" l="1"/>
  <c r="D397" i="4" s="1"/>
  <c r="B36" i="1"/>
  <c r="D32" i="1" s="1"/>
  <c r="C32" i="1"/>
  <c r="C36" i="1" s="1"/>
  <c r="B25" i="1"/>
  <c r="B6" i="1"/>
  <c r="D461" i="4"/>
  <c r="D462" i="4" s="1"/>
  <c r="D463" i="4" s="1"/>
  <c r="N37" i="1" l="1"/>
  <c r="C25" i="1"/>
  <c r="B7" i="1"/>
  <c r="D398" i="4"/>
  <c r="D399" i="4" s="1"/>
  <c r="C6" i="1"/>
  <c r="D36" i="1"/>
  <c r="D34" i="1"/>
  <c r="D33" i="1"/>
  <c r="B10" i="1" l="1"/>
  <c r="D6" i="1" s="1"/>
  <c r="D400" i="4"/>
  <c r="D401" i="4" s="1"/>
  <c r="D402" i="4" s="1"/>
  <c r="C7" i="1"/>
  <c r="C10" i="1" s="1"/>
  <c r="C37" i="1" s="1"/>
  <c r="D19" i="1" l="1"/>
  <c r="D7" i="1"/>
  <c r="D12" i="1"/>
  <c r="D22" i="1"/>
  <c r="D28" i="1"/>
  <c r="D8" i="1"/>
  <c r="D18" i="1"/>
  <c r="D27" i="1"/>
  <c r="D17" i="1"/>
  <c r="D9" i="1"/>
  <c r="D29" i="1"/>
  <c r="D15" i="1"/>
  <c r="D21" i="1"/>
  <c r="D23" i="1"/>
  <c r="D25" i="1"/>
  <c r="D16" i="1"/>
  <c r="D5" i="1"/>
  <c r="D10" i="1"/>
  <c r="D13" i="1"/>
  <c r="B37" i="1"/>
  <c r="D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<sst xmlns="http://schemas.openxmlformats.org/spreadsheetml/2006/main" count="1163" uniqueCount="589">
  <si>
    <t>SKU Code</t>
  </si>
  <si>
    <t>Details</t>
  </si>
  <si>
    <t>EUR/1000</t>
  </si>
  <si>
    <t>% of Total Cost</t>
  </si>
  <si>
    <t>Material</t>
  </si>
  <si>
    <t>Conversion</t>
  </si>
  <si>
    <t>Margin</t>
  </si>
  <si>
    <t>Packaging</t>
  </si>
  <si>
    <t xml:space="preserve">Freight </t>
  </si>
  <si>
    <t>Total</t>
  </si>
  <si>
    <t>Material Cost</t>
  </si>
  <si>
    <t>Conversion Cost</t>
  </si>
  <si>
    <t>Electricity</t>
  </si>
  <si>
    <t>Labour-Direct</t>
  </si>
  <si>
    <t>Labour-Indirect</t>
  </si>
  <si>
    <t>Repair &amp; Maintenance</t>
  </si>
  <si>
    <t>Other Overheads</t>
  </si>
  <si>
    <t>Lease</t>
  </si>
  <si>
    <t>Depreciation</t>
  </si>
  <si>
    <t>Interest</t>
  </si>
  <si>
    <t>Distribution</t>
  </si>
  <si>
    <t>Freight</t>
  </si>
  <si>
    <t>Process Costing</t>
  </si>
  <si>
    <t>Energy</t>
  </si>
  <si>
    <t>Labour</t>
  </si>
  <si>
    <t>Repairs</t>
  </si>
  <si>
    <t>Other OH</t>
  </si>
  <si>
    <t>Shipping</t>
  </si>
  <si>
    <t>Dispatch</t>
  </si>
  <si>
    <t>Note</t>
  </si>
  <si>
    <t>SKU Description</t>
  </si>
  <si>
    <t>xxxxx</t>
  </si>
  <si>
    <t>Country</t>
  </si>
  <si>
    <t>India</t>
  </si>
  <si>
    <t>Currency</t>
  </si>
  <si>
    <t>INR</t>
  </si>
  <si>
    <t>Supplier</t>
  </si>
  <si>
    <t>Costing Period</t>
  </si>
  <si>
    <t>Sep25</t>
  </si>
  <si>
    <t xml:space="preserve">Annual Volume </t>
  </si>
  <si>
    <t>pcs</t>
  </si>
  <si>
    <t>Material Details</t>
  </si>
  <si>
    <t>g</t>
  </si>
  <si>
    <t>%</t>
  </si>
  <si>
    <t>* Please select from Drop down list</t>
  </si>
  <si>
    <t>Nos</t>
  </si>
  <si>
    <t>Electricity Rate</t>
  </si>
  <si>
    <t>Manpower Cost</t>
  </si>
  <si>
    <t>Skilled Labour</t>
  </si>
  <si>
    <t>Engineer</t>
  </si>
  <si>
    <t>Production Manager</t>
  </si>
  <si>
    <t>Overheads</t>
  </si>
  <si>
    <t>Repair &amp; Maintainance</t>
  </si>
  <si>
    <t>Machine Value</t>
  </si>
  <si>
    <t>Depreciation on Building</t>
  </si>
  <si>
    <t>Completed life of asset</t>
  </si>
  <si>
    <t>Years</t>
  </si>
  <si>
    <t>Premises</t>
  </si>
  <si>
    <t>Land Cost</t>
  </si>
  <si>
    <t>INR Per Sq Mtr</t>
  </si>
  <si>
    <t>Lease Cost</t>
  </si>
  <si>
    <t>Type of Premises</t>
  </si>
  <si>
    <t>Owned</t>
  </si>
  <si>
    <t>Financials</t>
  </si>
  <si>
    <t>Interest on Long Term Loan</t>
  </si>
  <si>
    <t>Interest on Working Capital</t>
  </si>
  <si>
    <t>Margin Calculation</t>
  </si>
  <si>
    <t>% of Conversion Cost</t>
  </si>
  <si>
    <t>No of Orders / Year</t>
  </si>
  <si>
    <t>Boxes Per Pallet</t>
  </si>
  <si>
    <t>Boxes Per Container</t>
  </si>
  <si>
    <t>Polybag Cost</t>
  </si>
  <si>
    <t>Pallet Type</t>
  </si>
  <si>
    <t>Standard Pallet</t>
  </si>
  <si>
    <t>Type of Container</t>
  </si>
  <si>
    <t>22 feet / 24 feet</t>
  </si>
  <si>
    <t>Freight cost per container</t>
  </si>
  <si>
    <t>Days per Year</t>
  </si>
  <si>
    <t>Shifts per Day</t>
  </si>
  <si>
    <t>Hours per Day</t>
  </si>
  <si>
    <t>Efficiency</t>
  </si>
  <si>
    <t>Available hours per year</t>
  </si>
  <si>
    <t>Exchange Rates</t>
  </si>
  <si>
    <t>Inventory Holding</t>
  </si>
  <si>
    <t>RM Inventory Holding</t>
  </si>
  <si>
    <t>Days</t>
  </si>
  <si>
    <t>FG Inventory Holding</t>
  </si>
  <si>
    <t>Payment Terms</t>
  </si>
  <si>
    <t>RM Payment term</t>
  </si>
  <si>
    <t>No of days</t>
  </si>
  <si>
    <t>FG Payment term</t>
  </si>
  <si>
    <t>Unit</t>
  </si>
  <si>
    <t>Production</t>
  </si>
  <si>
    <t>Average Order Size</t>
  </si>
  <si>
    <t xml:space="preserve">Time Required for Set Up </t>
  </si>
  <si>
    <t>Mins</t>
  </si>
  <si>
    <t>Machine Cost</t>
  </si>
  <si>
    <t>Ancilliary Equipments</t>
  </si>
  <si>
    <t>Total Investment</t>
  </si>
  <si>
    <t>RM</t>
  </si>
  <si>
    <t>FG</t>
  </si>
  <si>
    <t>Warehouse</t>
  </si>
  <si>
    <t>cz</t>
  </si>
  <si>
    <t>Power</t>
  </si>
  <si>
    <t>Consumption</t>
  </si>
  <si>
    <t xml:space="preserve">  Main</t>
  </si>
  <si>
    <t>KWH</t>
  </si>
  <si>
    <t xml:space="preserve">  Ancilliary</t>
  </si>
  <si>
    <t xml:space="preserve">  Total</t>
  </si>
  <si>
    <t>Actual usage</t>
  </si>
  <si>
    <t>Running Load</t>
  </si>
  <si>
    <t>Electricity Cost</t>
  </si>
  <si>
    <t>Electricity Cost / Annum</t>
  </si>
  <si>
    <t>Direct Manpower</t>
  </si>
  <si>
    <t>Indirect Conversion Cost</t>
  </si>
  <si>
    <t>Working Capital Calculations</t>
  </si>
  <si>
    <t>Inventory Holding Cost</t>
  </si>
  <si>
    <t>Warehousing Cost</t>
  </si>
  <si>
    <t>Annual Volume</t>
  </si>
  <si>
    <t>RM Inventory</t>
  </si>
  <si>
    <t>Silo Size</t>
  </si>
  <si>
    <t>Tons</t>
  </si>
  <si>
    <t>Area Required + Gang ways</t>
  </si>
  <si>
    <t>SQM</t>
  </si>
  <si>
    <t>Resin Inventory</t>
  </si>
  <si>
    <t>Area required for RM inventory</t>
  </si>
  <si>
    <t xml:space="preserve">For FG Holding Cost Purpose only </t>
  </si>
  <si>
    <t xml:space="preserve">Weight </t>
  </si>
  <si>
    <t>FG Inventory</t>
  </si>
  <si>
    <t>Rack Size (LxDxH)</t>
  </si>
  <si>
    <t>Mtrs</t>
  </si>
  <si>
    <t xml:space="preserve"> 2.5x1x6</t>
  </si>
  <si>
    <t>Boxes per Pallet</t>
  </si>
  <si>
    <t>No of stacks on pallet  rack</t>
  </si>
  <si>
    <t>Total boxes per rack height</t>
  </si>
  <si>
    <t>Rack Size + Gangway</t>
  </si>
  <si>
    <t>Components per rack vertically</t>
  </si>
  <si>
    <t>Total FG Inventory (pcs)</t>
  </si>
  <si>
    <t>Area required for FG Inventory</t>
  </si>
  <si>
    <t>Total area required for inventory</t>
  </si>
  <si>
    <t>No.</t>
  </si>
  <si>
    <t>Annual Salary</t>
  </si>
  <si>
    <t>Total Salary</t>
  </si>
  <si>
    <t>**1 Operator for 4 Machines per shift</t>
  </si>
  <si>
    <t>Material Handler</t>
  </si>
  <si>
    <t>**1 Handler for 4 Machine per shift</t>
  </si>
  <si>
    <t>**1 Engineer for 15 Machine per shift</t>
  </si>
  <si>
    <t>**1 Production Manager for Morning Shift &amp; Night shift for full factory</t>
  </si>
  <si>
    <t>Average Hourly Rate</t>
  </si>
  <si>
    <t>Indirect Manpower</t>
  </si>
  <si>
    <t>Procurement</t>
  </si>
  <si>
    <t>Logistics Manager</t>
  </si>
  <si>
    <t>Safety Manager</t>
  </si>
  <si>
    <t>Safety Asst</t>
  </si>
  <si>
    <t>Quality Manager</t>
  </si>
  <si>
    <t>Asst Quality Manager</t>
  </si>
  <si>
    <t>Security</t>
  </si>
  <si>
    <t>** 3 per shift</t>
  </si>
  <si>
    <t>Housekeeping</t>
  </si>
  <si>
    <t>Mover &amp; Loader</t>
  </si>
  <si>
    <t>General Manager</t>
  </si>
  <si>
    <t>Common Investment Allocation</t>
  </si>
  <si>
    <t>Common Investment</t>
  </si>
  <si>
    <t>Area of Land</t>
  </si>
  <si>
    <t>Area of Building</t>
  </si>
  <si>
    <t>Total Common Cost</t>
  </si>
  <si>
    <t xml:space="preserve">Packing </t>
  </si>
  <si>
    <t>Total Packing Cost</t>
  </si>
  <si>
    <t>Delivery</t>
  </si>
  <si>
    <t>Delivery Cost</t>
  </si>
  <si>
    <t>Net cash gap</t>
  </si>
  <si>
    <t>Depreciation Schedule - Machinery &amp;Anciliary</t>
  </si>
  <si>
    <t>Investment Cost</t>
  </si>
  <si>
    <t>Salvage Value</t>
  </si>
  <si>
    <t>Net Assets for Year 1</t>
  </si>
  <si>
    <t>Depreciation for Year 1</t>
  </si>
  <si>
    <t>Net Assets for Year 2</t>
  </si>
  <si>
    <t>Depreciation for Year 2</t>
  </si>
  <si>
    <t>Net Assets for Year 3</t>
  </si>
  <si>
    <t>Depreciation for Year 3</t>
  </si>
  <si>
    <t>Net Assets for Year 4</t>
  </si>
  <si>
    <t>Depreciation for Year 4</t>
  </si>
  <si>
    <t>Net Assets for Year 5</t>
  </si>
  <si>
    <t>Depreciation for Year 5</t>
  </si>
  <si>
    <t>Net Assets for Year 6</t>
  </si>
  <si>
    <t>Depreciation for Year 6</t>
  </si>
  <si>
    <t>Net Assets for Year 7</t>
  </si>
  <si>
    <t>Depreciation for Year 7</t>
  </si>
  <si>
    <t>Net Assets for Year 8</t>
  </si>
  <si>
    <t>Depreciation for Year 8</t>
  </si>
  <si>
    <t>Net Assets for Year 9</t>
  </si>
  <si>
    <t>Depreciation for Year 9</t>
  </si>
  <si>
    <t>Net Assets for Year 10</t>
  </si>
  <si>
    <t>Depreciation for Year 10</t>
  </si>
  <si>
    <t>Net Assets for Year 11</t>
  </si>
  <si>
    <t>Depreciation for Year 11</t>
  </si>
  <si>
    <t>Net Assets for Year 12</t>
  </si>
  <si>
    <t>Depreciation for Year 12</t>
  </si>
  <si>
    <t>Net Assets for Year 13</t>
  </si>
  <si>
    <t>Depreciation for Year 13</t>
  </si>
  <si>
    <t>Net Assets for Year 14</t>
  </si>
  <si>
    <t>Depreciation for Year 14</t>
  </si>
  <si>
    <t>Net Assets for Year 15</t>
  </si>
  <si>
    <t>Depreciation for Year 15</t>
  </si>
  <si>
    <t>Interest Schedule - Main</t>
  </si>
  <si>
    <t>Investment</t>
  </si>
  <si>
    <t>Loan Tenure</t>
  </si>
  <si>
    <t>No of Payments / Year</t>
  </si>
  <si>
    <t>EMI</t>
  </si>
  <si>
    <t>Beginning Balance</t>
  </si>
  <si>
    <t>Principal</t>
  </si>
  <si>
    <t>Ending Balance</t>
  </si>
  <si>
    <t xml:space="preserve">Depreciation Schedule - Building </t>
  </si>
  <si>
    <t>Common Cost</t>
  </si>
  <si>
    <t>Net Asset for Year 1</t>
  </si>
  <si>
    <t>Net Asset for Year 2</t>
  </si>
  <si>
    <t>Net Asset for Year 3</t>
  </si>
  <si>
    <t>Net Asset for Year 4</t>
  </si>
  <si>
    <t>Net Asset for Year 5</t>
  </si>
  <si>
    <t>Net Asset for Year 6</t>
  </si>
  <si>
    <t>Net Asset for Year 7</t>
  </si>
  <si>
    <t>Net Asset for Year 8</t>
  </si>
  <si>
    <t>Net Asset for Year 9</t>
  </si>
  <si>
    <t>Net Asset for Year 10</t>
  </si>
  <si>
    <t>Net Asset for Year 11</t>
  </si>
  <si>
    <t>Net Asset for Year 12</t>
  </si>
  <si>
    <t>Net Asset for Year 13</t>
  </si>
  <si>
    <t>Net Asset for Year 14</t>
  </si>
  <si>
    <t>Net Asset for Year 15</t>
  </si>
  <si>
    <t>Interest Schedule - Land &amp; Building</t>
  </si>
  <si>
    <t>EBM</t>
  </si>
  <si>
    <t>Area Type</t>
  </si>
  <si>
    <t>Recommended Size (SQM)</t>
  </si>
  <si>
    <t>Notes</t>
  </si>
  <si>
    <t xml:space="preserve"> IMM Production Hall</t>
  </si>
  <si>
    <t>Including space between machines, operator walkways</t>
  </si>
  <si>
    <t xml:space="preserve"> Raw Material Storage</t>
  </si>
  <si>
    <t>Silo + bag storage, covered with material loaders, fire safety</t>
  </si>
  <si>
    <t>Finished Goods Warehouse</t>
  </si>
  <si>
    <t>3–5 days buffer stock, stacked pallets, racking possible</t>
  </si>
  <si>
    <t xml:space="preserve"> Tool Room &amp; Mould Storage</t>
  </si>
  <si>
    <t>For in-use and spare moulds; includes EOT crane space</t>
  </si>
  <si>
    <t xml:space="preserve"> QA, Testing &amp; Lab</t>
  </si>
  <si>
    <t>QC, testing, documentation</t>
  </si>
  <si>
    <t xml:space="preserve"> Maintenance + Utility Block</t>
  </si>
  <si>
    <t>Compressor, pump room, electrical panels, workshop</t>
  </si>
  <si>
    <t>Office/Admin Block</t>
  </si>
  <si>
    <t>Planning, HR, finance, customer service, etc.</t>
  </si>
  <si>
    <t>Canteen &amp; Washrooms</t>
  </si>
  <si>
    <t>Based on workforce (~150–200 people)</t>
  </si>
  <si>
    <t>Loading/Unloading Bays</t>
  </si>
  <si>
    <t>5 Bays - Dock-level bays for raw/finished goods</t>
  </si>
  <si>
    <t>Future Expansion</t>
  </si>
  <si>
    <t>Total Built Up Area</t>
  </si>
  <si>
    <t>FSI</t>
  </si>
  <si>
    <t>Land Area</t>
  </si>
  <si>
    <t>List of Auxillary Equipments</t>
  </si>
  <si>
    <t>Equipment List</t>
  </si>
  <si>
    <t>No of Machines</t>
  </si>
  <si>
    <t>Total Cost</t>
  </si>
  <si>
    <t>Machine Details</t>
  </si>
  <si>
    <t>Type</t>
  </si>
  <si>
    <t>Make</t>
  </si>
  <si>
    <t>Model</t>
  </si>
  <si>
    <t>Power Consumption KWH</t>
  </si>
  <si>
    <t>Machine Footprint SQM</t>
  </si>
  <si>
    <t>Pallet Size</t>
  </si>
  <si>
    <t>L in mm</t>
  </si>
  <si>
    <t>LW</t>
  </si>
  <si>
    <t>W in mm</t>
  </si>
  <si>
    <t>WH</t>
  </si>
  <si>
    <t>H in mm</t>
  </si>
  <si>
    <t>LH</t>
  </si>
  <si>
    <t>Cubic Metre</t>
  </si>
  <si>
    <t>Break Up of charges on Machine Imported</t>
  </si>
  <si>
    <t>** Import Duty not added as usually it is allowable as deduction from Local authorities for business development</t>
  </si>
  <si>
    <t>Import Duty</t>
  </si>
  <si>
    <t>International Freight</t>
  </si>
  <si>
    <t>Insurance</t>
  </si>
  <si>
    <t>Shipping line &amp; Port charges</t>
  </si>
  <si>
    <t>Detention charges</t>
  </si>
  <si>
    <t>CHA charegs</t>
  </si>
  <si>
    <t>Local Freight</t>
  </si>
  <si>
    <t>Installation &amp; Commissioning</t>
  </si>
  <si>
    <t>Bank Charges</t>
  </si>
  <si>
    <t>% of Material &amp; Conversion Cost</t>
  </si>
  <si>
    <t>Euro Pallet</t>
  </si>
  <si>
    <t>19 Feet</t>
  </si>
  <si>
    <t>26 feet</t>
  </si>
  <si>
    <t>32 feet</t>
  </si>
  <si>
    <t>20 Feet Container</t>
  </si>
  <si>
    <t>40 Feet Container</t>
  </si>
  <si>
    <t>Type of Pallet</t>
  </si>
  <si>
    <t>Leased</t>
  </si>
  <si>
    <t>Assumption- Area of land (SQM)</t>
  </si>
  <si>
    <t>Data for Fluting Calculation</t>
  </si>
  <si>
    <t>Flute</t>
  </si>
  <si>
    <t>Factor</t>
  </si>
  <si>
    <t>A</t>
  </si>
  <si>
    <t>B</t>
  </si>
  <si>
    <t>C</t>
  </si>
  <si>
    <t>E</t>
  </si>
  <si>
    <t>F</t>
  </si>
  <si>
    <t>S</t>
  </si>
  <si>
    <t>Data for Fluting &amp; BCT Calculation</t>
  </si>
  <si>
    <t>No. of corrugations per 30 cm</t>
  </si>
  <si>
    <t>Height of corrugation exclusive of liners</t>
  </si>
  <si>
    <t>Board Type</t>
  </si>
  <si>
    <t>Board thickness</t>
  </si>
  <si>
    <t>30 to 36</t>
  </si>
  <si>
    <t>3ply, A Flute</t>
  </si>
  <si>
    <t>44 to 50</t>
  </si>
  <si>
    <t>3ply, C Flute</t>
  </si>
  <si>
    <t>36 to 42</t>
  </si>
  <si>
    <t>3ply, B Flute</t>
  </si>
  <si>
    <t>86 to 94</t>
  </si>
  <si>
    <t>3ply, E Flute</t>
  </si>
  <si>
    <t>5ply, BB flute</t>
  </si>
  <si>
    <t>5ply, BC flute</t>
  </si>
  <si>
    <t>5ply, AB flute</t>
  </si>
  <si>
    <t>Printing Method</t>
  </si>
  <si>
    <t>Cutting Method</t>
  </si>
  <si>
    <t>Unprinted</t>
  </si>
  <si>
    <t>Flat Bed</t>
  </si>
  <si>
    <t>Flexo</t>
  </si>
  <si>
    <t>Rotary</t>
  </si>
  <si>
    <t>Offset</t>
  </si>
  <si>
    <t>Digital</t>
  </si>
  <si>
    <t>Corrugation Line</t>
  </si>
  <si>
    <t>Printing Machine</t>
  </si>
  <si>
    <t>Rotary Die Cutter</t>
  </si>
  <si>
    <t>Flat Bed Die Cutter</t>
  </si>
  <si>
    <t>Former &amp; Gluer</t>
  </si>
  <si>
    <t>BHS / Fosver</t>
  </si>
  <si>
    <t>TCY 6 PA + RDC</t>
  </si>
  <si>
    <t>Bobst</t>
  </si>
  <si>
    <t>BOBst Mastercut 1.7/2.1</t>
  </si>
  <si>
    <t>Bobst/BGM</t>
  </si>
  <si>
    <t>BOBst</t>
  </si>
  <si>
    <t xml:space="preserve">TCY </t>
  </si>
  <si>
    <t>BHS</t>
  </si>
  <si>
    <t>Machine Width</t>
  </si>
  <si>
    <t>mm</t>
  </si>
  <si>
    <t>Flat Size of Corrugate</t>
  </si>
  <si>
    <t>Length</t>
  </si>
  <si>
    <t>Width</t>
  </si>
  <si>
    <t>Area of 1 Corrugate</t>
  </si>
  <si>
    <t>Sq. Mtrs</t>
  </si>
  <si>
    <t>Side Lay-1</t>
  </si>
  <si>
    <t>Side Lay-2</t>
  </si>
  <si>
    <t>Gripper Margin</t>
  </si>
  <si>
    <t>Trim Wastage</t>
  </si>
  <si>
    <t>No of Ups per sheet</t>
  </si>
  <si>
    <t>Widthwise</t>
  </si>
  <si>
    <t>Actual Size to use</t>
  </si>
  <si>
    <t>No of Colours</t>
  </si>
  <si>
    <t>No of Print Runs / year</t>
  </si>
  <si>
    <t>Area per Corrugate</t>
  </si>
  <si>
    <t>Sq/m</t>
  </si>
  <si>
    <t>Average Run Size</t>
  </si>
  <si>
    <t xml:space="preserve">Set Up </t>
  </si>
  <si>
    <t>No of Set Ups/Year</t>
  </si>
  <si>
    <t>Set Up Wastage</t>
  </si>
  <si>
    <t>Layout (Sheet Margins)</t>
  </si>
  <si>
    <t>Registration</t>
  </si>
  <si>
    <t>No of Registrations/Year</t>
  </si>
  <si>
    <t>Time Required for Registration</t>
  </si>
  <si>
    <t>Min</t>
  </si>
  <si>
    <t>Machine Speed at Registration</t>
  </si>
  <si>
    <t>Registration Wastage</t>
  </si>
  <si>
    <t>Total Printing Wastage</t>
  </si>
  <si>
    <t>Time Required for Set Up</t>
  </si>
  <si>
    <t>Machine Speed at Set up</t>
  </si>
  <si>
    <t>Sheets/Min</t>
  </si>
  <si>
    <t>No of Sheets Wasted at Set up</t>
  </si>
  <si>
    <t>No of Carton Wasted at Set up</t>
  </si>
  <si>
    <t>Folder - Gluer</t>
  </si>
  <si>
    <t>Total Wastage</t>
  </si>
  <si>
    <t>No. of colours</t>
  </si>
  <si>
    <t>Technology</t>
  </si>
  <si>
    <t>Technology + No. of colours</t>
  </si>
  <si>
    <t>Printing machine Changeover time (min)</t>
  </si>
  <si>
    <t>Time required for Registration &amp; Shade matching (mins)</t>
  </si>
  <si>
    <t>No. of Cylinders</t>
  </si>
  <si>
    <t>Flexo1</t>
  </si>
  <si>
    <t>Flexo2</t>
  </si>
  <si>
    <t>Flexo3</t>
  </si>
  <si>
    <t>Flexo4</t>
  </si>
  <si>
    <t>Flexo5</t>
  </si>
  <si>
    <t>Flexo6</t>
  </si>
  <si>
    <t>Speed at time of start up</t>
  </si>
  <si>
    <t>No of Sheets/min</t>
  </si>
  <si>
    <t>Line Speed (Mtr/ Min)</t>
  </si>
  <si>
    <t>Machine Width (Mtr)</t>
  </si>
  <si>
    <t>Paper Rate</t>
  </si>
  <si>
    <t>Ink Rate</t>
  </si>
  <si>
    <t>GSM</t>
  </si>
  <si>
    <t>Glue Rate</t>
  </si>
  <si>
    <t>Paper</t>
  </si>
  <si>
    <t>Paper Cost</t>
  </si>
  <si>
    <t>Feedstock</t>
  </si>
  <si>
    <t>Inner Dimensions</t>
  </si>
  <si>
    <t>No of Ply</t>
  </si>
  <si>
    <t>Flute 1</t>
  </si>
  <si>
    <t>Flute 2</t>
  </si>
  <si>
    <t>Construction</t>
  </si>
  <si>
    <t>Add Length</t>
  </si>
  <si>
    <t>Add Width</t>
  </si>
  <si>
    <t>Length Flat Blank</t>
  </si>
  <si>
    <t>Width Flat Blank</t>
  </si>
  <si>
    <t>Area</t>
  </si>
  <si>
    <t>Weight of layers</t>
  </si>
  <si>
    <t>Total Weight</t>
  </si>
  <si>
    <t>Specifications</t>
  </si>
  <si>
    <t>Height</t>
  </si>
  <si>
    <t>K1</t>
  </si>
  <si>
    <t>M1</t>
  </si>
  <si>
    <t>K2</t>
  </si>
  <si>
    <t>M2</t>
  </si>
  <si>
    <t>K3</t>
  </si>
  <si>
    <t>Lifeboy 125g</t>
  </si>
  <si>
    <t>K1 Type</t>
  </si>
  <si>
    <t>M1 Type</t>
  </si>
  <si>
    <t>K2 Type</t>
  </si>
  <si>
    <t>M2 Type</t>
  </si>
  <si>
    <t>K3 Type</t>
  </si>
  <si>
    <t>HRCT</t>
  </si>
  <si>
    <t>RCT</t>
  </si>
  <si>
    <t>Outer Dimensions</t>
  </si>
  <si>
    <t>Type of Die Cutting</t>
  </si>
  <si>
    <t xml:space="preserve">Line Speed </t>
  </si>
  <si>
    <t>Mtr/ Min</t>
  </si>
  <si>
    <t>Corrugation Facility Area</t>
  </si>
  <si>
    <t>HSIEH HSU</t>
  </si>
  <si>
    <t>TCY QSS 250</t>
  </si>
  <si>
    <t>TCY QSS 300</t>
  </si>
  <si>
    <t>TCY QSS 350</t>
  </si>
  <si>
    <t>BHS Eco Line</t>
  </si>
  <si>
    <t>BHS S line</t>
  </si>
  <si>
    <t>Fosver S line</t>
  </si>
  <si>
    <t>Fosver Pro Line</t>
  </si>
  <si>
    <t>Mitsubishi SH 400</t>
  </si>
  <si>
    <t>Langston 50x113 (2C)</t>
  </si>
  <si>
    <t>LMC / Hamada / Minerva</t>
  </si>
  <si>
    <t>SUNRISE PACIFIC 1227</t>
  </si>
  <si>
    <t>JHF 428 +RDC</t>
  </si>
  <si>
    <t>JHF 236 Offline</t>
  </si>
  <si>
    <t>JHF RD 408</t>
  </si>
  <si>
    <t>Lian Tiee PS-1836 +RDC</t>
  </si>
  <si>
    <t>Lian Tiee PS-1628 +RDC</t>
  </si>
  <si>
    <t>TCY 8 PA + RDC</t>
  </si>
  <si>
    <t xml:space="preserve"> TCY 11 PA Inline</t>
  </si>
  <si>
    <t>Ward 66x100</t>
  </si>
  <si>
    <t>Titan 63x104  (4C)</t>
  </si>
  <si>
    <t>Ward 63x120  (3C)</t>
  </si>
  <si>
    <t>Bobst 1628 DRO NT RS</t>
  </si>
  <si>
    <t>Bobst 1228 NT RS</t>
  </si>
  <si>
    <t>MitsubEvol 37x100 (4C)</t>
  </si>
  <si>
    <t>MitsubEvol (34/84)  (4C)</t>
  </si>
  <si>
    <t>BOBST Eterna E cut 1060</t>
  </si>
  <si>
    <t>Emba 245 Ultima</t>
  </si>
  <si>
    <t>Mitsubishi MTR - 1600</t>
  </si>
  <si>
    <t>BOBST FFG 1632 | 1636 NT RS</t>
  </si>
  <si>
    <t>Evol 84 (4C)</t>
  </si>
  <si>
    <t>Evol 100 (4C)</t>
  </si>
  <si>
    <t>Evol 115 (4C)</t>
  </si>
  <si>
    <t>Boiler / Thermic Fluid Heater</t>
  </si>
  <si>
    <t>Air Compressor</t>
  </si>
  <si>
    <t>Glue Preparation Unit</t>
  </si>
  <si>
    <t>Ink Kitchen / Mixing Unit</t>
  </si>
  <si>
    <t>Waste &amp; Trim Collection System</t>
  </si>
  <si>
    <t>Material Handling (Conveyors, Pallet Trucks, Bundlers, Palletizers)</t>
  </si>
  <si>
    <t>Chiller / Water Circulation System</t>
  </si>
  <si>
    <t>Purpose</t>
  </si>
  <si>
    <t>Remarks</t>
  </si>
  <si>
    <t>Generates steam for preheaters</t>
  </si>
  <si>
    <t>Pneumatic supply</t>
  </si>
  <si>
    <t>Starch-based adhesive preparation</t>
  </si>
  <si>
    <t>Ink preparation</t>
  </si>
  <si>
    <t>Dust extraction &amp; paper scrap</t>
  </si>
  <si>
    <t>Movement of sheets &amp; boxes</t>
  </si>
  <si>
    <t>For roll cooling</t>
  </si>
  <si>
    <t>Diesel/gas/solid fuel</t>
  </si>
  <si>
    <t>For auto controls</t>
  </si>
  <si>
    <t>Optional</t>
  </si>
  <si>
    <t>Auxillary Equipments</t>
  </si>
  <si>
    <t>Machine Cost €</t>
  </si>
  <si>
    <t>Fosver</t>
  </si>
  <si>
    <t>Mitsubishi</t>
  </si>
  <si>
    <t>TCY</t>
  </si>
  <si>
    <t>Silvassa</t>
  </si>
  <si>
    <t>Print Width</t>
  </si>
  <si>
    <t>Running Length</t>
  </si>
  <si>
    <t>Length Wasted at Set up</t>
  </si>
  <si>
    <t>Length Wasted at Registration</t>
  </si>
  <si>
    <t>Area of Paper Reel</t>
  </si>
  <si>
    <t>No of Reels Required in Stock</t>
  </si>
  <si>
    <t>Weight Per Reel</t>
  </si>
  <si>
    <t>* assuming 1 m Dia</t>
  </si>
  <si>
    <t xml:space="preserve">Machine Utilised </t>
  </si>
  <si>
    <t>Hours</t>
  </si>
  <si>
    <t>Corrugating</t>
  </si>
  <si>
    <t>Capacity Required</t>
  </si>
  <si>
    <t>No of Machines Required</t>
  </si>
  <si>
    <t>EUR</t>
  </si>
  <si>
    <t>per piece</t>
  </si>
  <si>
    <t>Pallet Cost</t>
  </si>
  <si>
    <t>EUR to INR</t>
  </si>
  <si>
    <t>Logistics</t>
  </si>
  <si>
    <t>Langston</t>
  </si>
  <si>
    <t>Sunrise</t>
  </si>
  <si>
    <t>JHF</t>
  </si>
  <si>
    <t>Lian Tee</t>
  </si>
  <si>
    <t>Ward</t>
  </si>
  <si>
    <t>Titan</t>
  </si>
  <si>
    <t>Line Speed</t>
  </si>
  <si>
    <t>Mtr/Min</t>
  </si>
  <si>
    <t>Corrugation Machine Utilised</t>
  </si>
  <si>
    <t>* Sheets/ Hour</t>
  </si>
  <si>
    <t>Sheets/ Hour</t>
  </si>
  <si>
    <t>Machine Utilised  for Set Up</t>
  </si>
  <si>
    <t>Machine Utilised  for Run On</t>
  </si>
  <si>
    <t>Hours utilised for Production</t>
  </si>
  <si>
    <t>Mandatory field</t>
  </si>
  <si>
    <t>Strapping &amp; Shrink wrap</t>
  </si>
  <si>
    <t>Strapping &amp; Shrink per Bundle</t>
  </si>
  <si>
    <t>Panel Cabelling etc</t>
  </si>
  <si>
    <t>Currency Symbol</t>
  </si>
  <si>
    <t>Exchange rate with Euro</t>
  </si>
  <si>
    <t>Exchange rate with USD</t>
  </si>
  <si>
    <t>Vietnam</t>
  </si>
  <si>
    <t>Vietnamese Dong</t>
  </si>
  <si>
    <t>VND</t>
  </si>
  <si>
    <t>Philippines</t>
  </si>
  <si>
    <t>Philippines Pesos</t>
  </si>
  <si>
    <t>PHP</t>
  </si>
  <si>
    <t>China</t>
  </si>
  <si>
    <t>Chinese Yuan</t>
  </si>
  <si>
    <t>CNY</t>
  </si>
  <si>
    <t>kWH</t>
  </si>
  <si>
    <t>per sqm</t>
  </si>
  <si>
    <t>KM</t>
  </si>
  <si>
    <t>Argentina</t>
  </si>
  <si>
    <t>Argentinian Pesos</t>
  </si>
  <si>
    <t>ARS</t>
  </si>
  <si>
    <t>Brazil</t>
  </si>
  <si>
    <t>Brazilian Reals</t>
  </si>
  <si>
    <t>BRL</t>
  </si>
  <si>
    <t>France</t>
  </si>
  <si>
    <t xml:space="preserve">Euros </t>
  </si>
  <si>
    <t>Germany</t>
  </si>
  <si>
    <t>Hungary</t>
  </si>
  <si>
    <t>Hungarian Forints</t>
  </si>
  <si>
    <t>HUF</t>
  </si>
  <si>
    <t>Indian Rupees</t>
  </si>
  <si>
    <t>Indonesia</t>
  </si>
  <si>
    <t>Indonesian Rupiah</t>
  </si>
  <si>
    <t>IDR</t>
  </si>
  <si>
    <t>Mexico</t>
  </si>
  <si>
    <t>Mexican Pesos</t>
  </si>
  <si>
    <t>MXN</t>
  </si>
  <si>
    <t>Pakistan</t>
  </si>
  <si>
    <t>Pakistani Rupees</t>
  </si>
  <si>
    <t>PKR</t>
  </si>
  <si>
    <t>South Africa</t>
  </si>
  <si>
    <t>South African Rand</t>
  </si>
  <si>
    <t>ZAR</t>
  </si>
  <si>
    <t>Turkey</t>
  </si>
  <si>
    <t>Turkish Lira</t>
  </si>
  <si>
    <t>TRY</t>
  </si>
  <si>
    <t>United Kingdom</t>
  </si>
  <si>
    <t>British Pounds</t>
  </si>
  <si>
    <t>GBP</t>
  </si>
  <si>
    <t>United States</t>
  </si>
  <si>
    <t>U.S. Dollars</t>
  </si>
  <si>
    <t>USD</t>
  </si>
  <si>
    <t>Euro</t>
  </si>
  <si>
    <t>* User may input as required</t>
  </si>
  <si>
    <t>Depreciation on P&amp;M</t>
  </si>
  <si>
    <t>Building Cost</t>
  </si>
  <si>
    <t>INR Machine Cost</t>
  </si>
  <si>
    <t>Cost INR/ TH</t>
  </si>
  <si>
    <t>Sl No</t>
  </si>
  <si>
    <t>Date</t>
  </si>
  <si>
    <t>Change</t>
  </si>
  <si>
    <t>Reason</t>
  </si>
  <si>
    <t>17thDec25</t>
  </si>
  <si>
    <t>18thDec25</t>
  </si>
  <si>
    <t>Change in Land &amp; Building Cost per sq mt &amp; Labour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</si>
</sst>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(* #,##0.00_);_(* \(#,##0.00\);_(* &quot;-&quot;??_);_(@_)"/>
    <numFmt numFmtId="164" formatCode="_ * #,##0.00_ ;_ * \-#,##0.00_ ;_ * &quot;-&quot;??_ ;_ @_ "/>
    <numFmt numFmtId="165" formatCode="_(* #,##0_);_(* \(#,##0\);_(* &quot;-&quot;??_);_(@_)"/>
    <numFmt numFmtId="166" formatCode="_(* #,##0.0_);_(* \(#,##0.0\);_(* &quot;-&quot;??_);_(@_)"/>
    <numFmt numFmtId="167" formatCode="0.0%"/>
    <numFmt numFmtId="168" formatCode="0.0"/>
    <numFmt numFmtId="169" formatCode="_ * #,##0_ ;_ * \-#,##0_ ;_ * &quot;-&quot;??_ ;_ @_ "/>
    <numFmt numFmtId="170" formatCode="_ * #,##0.0_ ;_ * \-#,##0.0_ ;_ * &quot;-&quot;??_ ;_ @_ "/>
    <numFmt numFmtId="171" formatCode="_(* #,##0.0_);_(* \(#,##0.0\);_(* &quot;-&quot;?_);_(@_)"/>
    <numFmt numFmtId="172" formatCode="_ * #,##0.0_ ;_ * \-#,##0.0_ ;_ * &quot;-&quot;?_ ;_ @_ "/>
    <numFmt numFmtId="173" formatCode="_([$€-2]\ * #,##0.00_);_([$€-2]\ * \(#,##0.00\);_([$€-2]\ * &quot;-&quot;??_);_(@_)"/>
    <numFmt numFmtId="174" formatCode="_(* #,##0.000_);_(* \(#,##0.000\);_(* &quot;-&quot;??_);_(@_)"/>
    <numFmt numFmtId="175" formatCode="_(* #,##0.0000_);_(* \(#,##0.0000\);_(* &quot;-&quot;??_);_(@_)"/>
    <numFmt numFmtId="176" formatCode="_(* #,##0.00000_);_(* \(#,##0.00000\);_(* &quot;-&quot;??_);_(@_)"/>
    <numFmt numFmtId="177" formatCode="_ * #,##0_ ;_ * \-#,##0_ ;_ * &quot;-&quot;?_ ;_ @_ "/>
    <numFmt numFmtId="178" formatCode="0.000%"/>
  </numFmts>
  <fonts count="20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b/>
      <sz val="9"/>
      <color theme="1"/>
      <name val="Calibri"/>
      <family val="2"/>
    </font>
    <font>
      <u/>
      <sz val="9"/>
      <color theme="1"/>
      <name val="Calibri"/>
      <family val="2"/>
    </font>
    <font>
      <b/>
      <i/>
      <sz val="9"/>
      <color rgb="FF0070C0"/>
      <name val="Calibri"/>
      <family val="2"/>
    </font>
    <font>
      <b/>
      <sz val="9"/>
      <color rgb="FF000000"/>
      <name val="Calibri"/>
      <family val="2"/>
    </font>
    <font>
      <b/>
      <u/>
      <sz val="9"/>
      <color theme="1"/>
      <name val="Calibri"/>
      <family val="2"/>
    </font>
    <font>
      <sz val="9"/>
      <color theme="0"/>
      <name val="Calibri"/>
      <family val="2"/>
    </font>
    <font>
      <sz val="9"/>
      <color theme="1"/>
      <name val="Calibri"/>
      <family val="2"/>
    </font>
    <font>
      <b/>
      <sz val="9"/>
      <name val="Calibri"/>
      <family val="2"/>
    </font>
    <font>
      <b/>
      <sz val="11"/>
      <color theme="1"/>
      <name val="Aptos Narrow"/>
      <family val="2"/>
      <scheme val="minor"/>
    </font>
    <font>
      <sz val="9"/>
      <color rgb="FFFF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</borders>
  <cellStyleXfs count="10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164" fontId="3" fillId="0" borderId="0" applyFont="0" applyFill="0" applyBorder="0" applyAlignment="0" applyProtection="0"/>
    <xf numFmtId="0" fontId="3" fillId="0" borderId="0"/>
  </cellStyleXfs>
  <cellXfs count="248">
    <xf numFmtId="0" fontId="0" fillId="0" borderId="0" xfId="0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167" fontId="6" fillId="0" borderId="0" xfId="0" applyNumberFormat="1" applyFont="1" applyAlignment="1">
      <alignment horizontal="right"/>
    </xf>
    <xf numFmtId="0" fontId="11" fillId="0" borderId="0" xfId="0" applyFont="1"/>
    <xf numFmtId="0" fontId="7" fillId="5" borderId="18" xfId="0" applyFont="1" applyFill="1" applyBorder="1"/>
    <xf numFmtId="0" fontId="7" fillId="5" borderId="18" xfId="0" applyFont="1" applyFill="1" applyBorder="1" applyAlignment="1">
      <alignment horizontal="center"/>
    </xf>
    <xf numFmtId="43" fontId="7" fillId="5" borderId="18" xfId="1" applyFont="1" applyFill="1" applyBorder="1" applyAlignment="1">
      <alignment horizontal="center"/>
    </xf>
    <xf numFmtId="43" fontId="7" fillId="5" borderId="18" xfId="1" applyFont="1" applyFill="1" applyBorder="1" applyAlignment="1">
      <alignment horizontal="right"/>
    </xf>
    <xf numFmtId="0" fontId="5" fillId="0" borderId="18" xfId="0" applyFont="1" applyBorder="1"/>
    <xf numFmtId="0" fontId="5" fillId="0" borderId="18" xfId="0" applyFont="1" applyBorder="1" applyAlignment="1">
      <alignment horizontal="left"/>
    </xf>
    <xf numFmtId="170" fontId="5" fillId="3" borderId="18" xfId="1" applyNumberFormat="1" applyFont="1" applyFill="1" applyBorder="1"/>
    <xf numFmtId="166" fontId="5" fillId="3" borderId="18" xfId="1" applyNumberFormat="1" applyFont="1" applyFill="1" applyBorder="1"/>
    <xf numFmtId="0" fontId="8" fillId="0" borderId="18" xfId="0" applyFont="1" applyBorder="1"/>
    <xf numFmtId="0" fontId="7" fillId="0" borderId="18" xfId="0" applyFont="1" applyBorder="1"/>
    <xf numFmtId="170" fontId="7" fillId="3" borderId="18" xfId="1" applyNumberFormat="1" applyFont="1" applyFill="1" applyBorder="1"/>
    <xf numFmtId="0" fontId="11" fillId="0" borderId="18" xfId="0" applyFont="1" applyBorder="1"/>
    <xf numFmtId="0" fontId="7" fillId="0" borderId="18" xfId="0" applyFont="1" applyBorder="1" applyAlignment="1">
      <alignment horizontal="left"/>
    </xf>
    <xf numFmtId="166" fontId="7" fillId="5" borderId="18" xfId="1" applyNumberFormat="1" applyFont="1" applyFill="1" applyBorder="1" applyAlignment="1">
      <alignment horizontal="right"/>
    </xf>
    <xf numFmtId="0" fontId="7" fillId="0" borderId="0" xfId="7" applyFont="1"/>
    <xf numFmtId="0" fontId="12" fillId="0" borderId="0" xfId="7" applyFont="1"/>
    <xf numFmtId="0" fontId="7" fillId="5" borderId="18" xfId="7" applyFont="1" applyFill="1" applyBorder="1" applyAlignment="1">
      <alignment horizontal="center" vertical="center"/>
    </xf>
    <xf numFmtId="0" fontId="7" fillId="5" borderId="21" xfId="7" applyFont="1" applyFill="1" applyBorder="1" applyAlignment="1">
      <alignment vertical="center"/>
    </xf>
    <xf numFmtId="0" fontId="7" fillId="5" borderId="18" xfId="7" applyFont="1" applyFill="1" applyBorder="1"/>
    <xf numFmtId="0" fontId="7" fillId="5" borderId="18" xfId="7" applyFont="1" applyFill="1" applyBorder="1" applyAlignment="1">
      <alignment horizontal="center"/>
    </xf>
    <xf numFmtId="0" fontId="7" fillId="0" borderId="18" xfId="7" applyFont="1" applyBorder="1"/>
    <xf numFmtId="10" fontId="7" fillId="3" borderId="18" xfId="5" applyNumberFormat="1" applyFont="1" applyFill="1" applyBorder="1" applyAlignment="1"/>
    <xf numFmtId="0" fontId="7" fillId="5" borderId="18" xfId="0" applyFont="1" applyFill="1" applyBorder="1" applyAlignment="1">
      <alignment horizontal="right"/>
    </xf>
    <xf numFmtId="0" fontId="4" fillId="0" borderId="0" xfId="0" applyFont="1"/>
    <xf numFmtId="0" fontId="7" fillId="5" borderId="18" xfId="0" applyFont="1" applyFill="1" applyBorder="1" applyAlignment="1">
      <alignment horizontal="center" wrapText="1"/>
    </xf>
    <xf numFmtId="10" fontId="7" fillId="0" borderId="0" xfId="5" applyNumberFormat="1" applyFont="1" applyFill="1" applyBorder="1" applyAlignment="1"/>
    <xf numFmtId="0" fontId="7" fillId="5" borderId="18" xfId="7" applyFont="1" applyFill="1" applyBorder="1" applyAlignment="1">
      <alignment wrapText="1"/>
    </xf>
    <xf numFmtId="0" fontId="12" fillId="0" borderId="0" xfId="0" applyFont="1"/>
    <xf numFmtId="9" fontId="5" fillId="0" borderId="18" xfId="2" applyFont="1" applyFill="1" applyBorder="1"/>
    <xf numFmtId="0" fontId="5" fillId="0" borderId="0" xfId="0" applyFont="1" applyAlignment="1">
      <alignment horizontal="left"/>
    </xf>
    <xf numFmtId="170" fontId="5" fillId="0" borderId="18" xfId="1" applyNumberFormat="1" applyFont="1" applyFill="1" applyBorder="1"/>
    <xf numFmtId="169" fontId="5" fillId="0" borderId="18" xfId="1" applyNumberFormat="1" applyFont="1" applyFill="1" applyBorder="1"/>
    <xf numFmtId="10" fontId="5" fillId="3" borderId="18" xfId="2" applyNumberFormat="1" applyFont="1" applyFill="1" applyBorder="1"/>
    <xf numFmtId="0" fontId="7" fillId="0" borderId="0" xfId="7" applyFont="1" applyAlignment="1">
      <alignment wrapText="1"/>
    </xf>
    <xf numFmtId="0" fontId="2" fillId="0" borderId="0" xfId="7" applyFont="1"/>
    <xf numFmtId="0" fontId="2" fillId="0" borderId="18" xfId="7" applyFont="1" applyBorder="1" applyAlignment="1">
      <alignment vertical="center"/>
    </xf>
    <xf numFmtId="169" fontId="2" fillId="3" borderId="18" xfId="6" applyNumberFormat="1" applyFont="1" applyFill="1" applyBorder="1" applyAlignment="1">
      <alignment vertical="center"/>
    </xf>
    <xf numFmtId="0" fontId="2" fillId="0" borderId="18" xfId="7" applyFont="1" applyBorder="1"/>
    <xf numFmtId="169" fontId="2" fillId="3" borderId="18" xfId="6" applyNumberFormat="1" applyFont="1" applyFill="1" applyBorder="1"/>
    <xf numFmtId="9" fontId="2" fillId="3" borderId="18" xfId="7" applyNumberFormat="1" applyFont="1" applyFill="1" applyBorder="1"/>
    <xf numFmtId="164" fontId="2" fillId="0" borderId="0" xfId="7" applyNumberFormat="1" applyFont="1"/>
    <xf numFmtId="0" fontId="2" fillId="0" borderId="0" xfId="7" applyFont="1" applyAlignment="1">
      <alignment wrapText="1"/>
    </xf>
    <xf numFmtId="0" fontId="2" fillId="3" borderId="18" xfId="7" applyFont="1" applyFill="1" applyBorder="1"/>
    <xf numFmtId="170" fontId="2" fillId="3" borderId="18" xfId="6" applyNumberFormat="1" applyFont="1" applyFill="1" applyBorder="1"/>
    <xf numFmtId="9" fontId="2" fillId="0" borderId="0" xfId="2" applyFont="1" applyFill="1" applyBorder="1"/>
    <xf numFmtId="166" fontId="2" fillId="0" borderId="0" xfId="1" applyNumberFormat="1" applyFont="1" applyFill="1" applyBorder="1"/>
    <xf numFmtId="170" fontId="2" fillId="0" borderId="0" xfId="6" applyNumberFormat="1" applyFont="1" applyFill="1" applyBorder="1"/>
    <xf numFmtId="170" fontId="2" fillId="0" borderId="18" xfId="6" applyNumberFormat="1" applyFont="1" applyBorder="1"/>
    <xf numFmtId="10" fontId="2" fillId="3" borderId="18" xfId="7" applyNumberFormat="1" applyFont="1" applyFill="1" applyBorder="1"/>
    <xf numFmtId="0" fontId="2" fillId="0" borderId="0" xfId="0" applyFont="1"/>
    <xf numFmtId="0" fontId="2" fillId="0" borderId="18" xfId="0" applyFont="1" applyBorder="1" applyAlignment="1">
      <alignment horizontal="center"/>
    </xf>
    <xf numFmtId="43" fontId="2" fillId="3" borderId="18" xfId="1" applyFont="1" applyFill="1" applyBorder="1" applyAlignment="1">
      <alignment horizontal="center"/>
    </xf>
    <xf numFmtId="43" fontId="2" fillId="3" borderId="18" xfId="1" quotePrefix="1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0" borderId="18" xfId="0" applyFont="1" applyBorder="1"/>
    <xf numFmtId="0" fontId="2" fillId="0" borderId="22" xfId="0" applyFont="1" applyBorder="1"/>
    <xf numFmtId="0" fontId="2" fillId="0" borderId="0" xfId="0" applyFont="1" applyAlignment="1">
      <alignment horizontal="right"/>
    </xf>
    <xf numFmtId="0" fontId="2" fillId="3" borderId="18" xfId="0" applyFont="1" applyFill="1" applyBorder="1"/>
    <xf numFmtId="0" fontId="2" fillId="0" borderId="18" xfId="0" applyFont="1" applyBorder="1" applyAlignment="1">
      <alignment horizontal="right"/>
    </xf>
    <xf numFmtId="0" fontId="2" fillId="0" borderId="18" xfId="0" applyFont="1" applyBorder="1" applyAlignment="1">
      <alignment horizontal="left"/>
    </xf>
    <xf numFmtId="173" fontId="2" fillId="0" borderId="18" xfId="0" applyNumberFormat="1" applyFont="1" applyBorder="1" applyAlignment="1">
      <alignment horizontal="left"/>
    </xf>
    <xf numFmtId="172" fontId="2" fillId="0" borderId="0" xfId="7" applyNumberFormat="1" applyFont="1"/>
    <xf numFmtId="0" fontId="2" fillId="5" borderId="18" xfId="0" applyFont="1" applyFill="1" applyBorder="1"/>
    <xf numFmtId="0" fontId="12" fillId="0" borderId="23" xfId="0" applyFont="1" applyBorder="1"/>
    <xf numFmtId="43" fontId="2" fillId="3" borderId="18" xfId="7" applyNumberFormat="1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166" fontId="2" fillId="0" borderId="0" xfId="1" applyNumberFormat="1" applyFont="1" applyBorder="1"/>
    <xf numFmtId="0" fontId="2" fillId="2" borderId="6" xfId="3" applyFont="1" applyFill="1" applyBorder="1"/>
    <xf numFmtId="0" fontId="2" fillId="2" borderId="7" xfId="3" applyFont="1" applyFill="1" applyBorder="1"/>
    <xf numFmtId="0" fontId="2" fillId="2" borderId="8" xfId="3" applyFont="1" applyFill="1" applyBorder="1"/>
    <xf numFmtId="166" fontId="2" fillId="0" borderId="0" xfId="1" applyNumberFormat="1" applyFont="1"/>
    <xf numFmtId="164" fontId="2" fillId="0" borderId="0" xfId="0" applyNumberFormat="1" applyFont="1"/>
    <xf numFmtId="0" fontId="7" fillId="0" borderId="6" xfId="3" applyFont="1" applyBorder="1"/>
    <xf numFmtId="166" fontId="7" fillId="3" borderId="7" xfId="1" applyNumberFormat="1" applyFont="1" applyFill="1" applyBorder="1"/>
    <xf numFmtId="0" fontId="2" fillId="0" borderId="9" xfId="0" applyFont="1" applyBorder="1"/>
    <xf numFmtId="166" fontId="2" fillId="0" borderId="10" xfId="1" applyNumberFormat="1" applyFont="1" applyBorder="1"/>
    <xf numFmtId="0" fontId="2" fillId="0" borderId="11" xfId="0" applyFont="1" applyBorder="1"/>
    <xf numFmtId="0" fontId="8" fillId="0" borderId="12" xfId="0" applyFont="1" applyBorder="1"/>
    <xf numFmtId="166" fontId="2" fillId="4" borderId="0" xfId="1" applyNumberFormat="1" applyFont="1" applyFill="1" applyBorder="1"/>
    <xf numFmtId="167" fontId="2" fillId="4" borderId="13" xfId="2" applyNumberFormat="1" applyFont="1" applyFill="1" applyBorder="1"/>
    <xf numFmtId="0" fontId="2" fillId="0" borderId="12" xfId="0" applyFont="1" applyBorder="1"/>
    <xf numFmtId="167" fontId="2" fillId="0" borderId="13" xfId="2" applyNumberFormat="1" applyFont="1" applyFill="1" applyBorder="1"/>
    <xf numFmtId="43" fontId="2" fillId="0" borderId="0" xfId="1" applyFont="1" applyBorder="1"/>
    <xf numFmtId="0" fontId="6" fillId="0" borderId="4" xfId="0" applyFont="1" applyBorder="1"/>
    <xf numFmtId="167" fontId="2" fillId="0" borderId="13" xfId="2" applyNumberFormat="1" applyFont="1" applyBorder="1"/>
    <xf numFmtId="0" fontId="2" fillId="0" borderId="14" xfId="0" applyFont="1" applyBorder="1"/>
    <xf numFmtId="166" fontId="2" fillId="0" borderId="15" xfId="1" applyNumberFormat="1" applyFont="1" applyBorder="1"/>
    <xf numFmtId="167" fontId="2" fillId="0" borderId="16" xfId="2" applyNumberFormat="1" applyFont="1" applyBorder="1"/>
    <xf numFmtId="0" fontId="2" fillId="0" borderId="4" xfId="3" applyFont="1" applyBorder="1"/>
    <xf numFmtId="168" fontId="2" fillId="0" borderId="0" xfId="3" applyNumberFormat="1" applyFont="1"/>
    <xf numFmtId="0" fontId="2" fillId="0" borderId="0" xfId="3" applyFont="1"/>
    <xf numFmtId="2" fontId="2" fillId="0" borderId="0" xfId="3" applyNumberFormat="1" applyFont="1"/>
    <xf numFmtId="167" fontId="2" fillId="0" borderId="5" xfId="4" applyNumberFormat="1" applyFont="1" applyBorder="1"/>
    <xf numFmtId="0" fontId="2" fillId="0" borderId="17" xfId="3" applyFont="1" applyBorder="1"/>
    <xf numFmtId="166" fontId="2" fillId="3" borderId="6" xfId="1" applyNumberFormat="1" applyFont="1" applyFill="1" applyBorder="1"/>
    <xf numFmtId="166" fontId="2" fillId="3" borderId="7" xfId="1" applyNumberFormat="1" applyFont="1" applyFill="1" applyBorder="1"/>
    <xf numFmtId="1" fontId="2" fillId="0" borderId="0" xfId="3" applyNumberFormat="1" applyFont="1"/>
    <xf numFmtId="164" fontId="2" fillId="0" borderId="0" xfId="3" applyNumberFormat="1" applyFont="1"/>
    <xf numFmtId="0" fontId="2" fillId="0" borderId="0" xfId="0" applyFont="1" applyAlignment="1">
      <alignment horizontal="center"/>
    </xf>
    <xf numFmtId="0" fontId="2" fillId="0" borderId="0" xfId="0" quotePrefix="1" applyFont="1" applyAlignment="1">
      <alignment horizontal="right"/>
    </xf>
    <xf numFmtId="166" fontId="2" fillId="0" borderId="0" xfId="1" applyNumberFormat="1" applyFont="1" applyAlignment="1">
      <alignment horizontal="right"/>
    </xf>
    <xf numFmtId="167" fontId="2" fillId="0" borderId="0" xfId="0" applyNumberFormat="1" applyFont="1"/>
    <xf numFmtId="10" fontId="2" fillId="0" borderId="0" xfId="2" applyNumberFormat="1" applyFont="1" applyFill="1" applyBorder="1"/>
    <xf numFmtId="169" fontId="2" fillId="0" borderId="0" xfId="1" applyNumberFormat="1" applyFont="1" applyFill="1" applyBorder="1"/>
    <xf numFmtId="170" fontId="2" fillId="0" borderId="0" xfId="1" applyNumberFormat="1" applyFont="1" applyFill="1" applyBorder="1"/>
    <xf numFmtId="166" fontId="2" fillId="0" borderId="0" xfId="0" applyNumberFormat="1" applyFont="1" applyAlignment="1">
      <alignment horizontal="right"/>
    </xf>
    <xf numFmtId="43" fontId="2" fillId="0" borderId="0" xfId="1" applyFont="1" applyFill="1" applyBorder="1"/>
    <xf numFmtId="9" fontId="2" fillId="0" borderId="0" xfId="0" applyNumberFormat="1" applyFont="1" applyAlignment="1">
      <alignment horizontal="right"/>
    </xf>
    <xf numFmtId="166" fontId="2" fillId="0" borderId="0" xfId="1" applyNumberFormat="1" applyFont="1" applyFill="1" applyBorder="1" applyAlignment="1">
      <alignment horizontal="right"/>
    </xf>
    <xf numFmtId="165" fontId="2" fillId="0" borderId="0" xfId="1" applyNumberFormat="1" applyFont="1" applyFill="1" applyBorder="1" applyAlignment="1">
      <alignment horizontal="right"/>
    </xf>
    <xf numFmtId="9" fontId="2" fillId="0" borderId="0" xfId="2" applyFont="1" applyFill="1" applyBorder="1" applyAlignment="1">
      <alignment horizontal="right"/>
    </xf>
    <xf numFmtId="169" fontId="2" fillId="0" borderId="0" xfId="1" applyNumberFormat="1" applyFont="1" applyFill="1" applyBorder="1" applyAlignment="1">
      <alignment horizontal="right"/>
    </xf>
    <xf numFmtId="166" fontId="2" fillId="0" borderId="18" xfId="1" applyNumberFormat="1" applyFont="1" applyBorder="1" applyAlignment="1">
      <alignment horizontal="right"/>
    </xf>
    <xf numFmtId="166" fontId="2" fillId="4" borderId="18" xfId="1" applyNumberFormat="1" applyFont="1" applyFill="1" applyBorder="1" applyAlignment="1">
      <alignment horizontal="right"/>
    </xf>
    <xf numFmtId="43" fontId="2" fillId="0" borderId="0" xfId="0" applyNumberFormat="1" applyFont="1"/>
    <xf numFmtId="166" fontId="2" fillId="0" borderId="18" xfId="1" applyNumberFormat="1" applyFont="1" applyFill="1" applyBorder="1" applyAlignment="1">
      <alignment horizontal="right"/>
    </xf>
    <xf numFmtId="174" fontId="2" fillId="0" borderId="0" xfId="0" applyNumberFormat="1" applyFont="1"/>
    <xf numFmtId="10" fontId="2" fillId="0" borderId="18" xfId="2" applyNumberFormat="1" applyFont="1" applyFill="1" applyBorder="1" applyAlignment="1">
      <alignment horizontal="right"/>
    </xf>
    <xf numFmtId="166" fontId="2" fillId="0" borderId="18" xfId="2" applyNumberFormat="1" applyFont="1" applyFill="1" applyBorder="1" applyAlignment="1">
      <alignment horizontal="right"/>
    </xf>
    <xf numFmtId="172" fontId="2" fillId="0" borderId="0" xfId="0" applyNumberFormat="1" applyFont="1"/>
    <xf numFmtId="10" fontId="2" fillId="4" borderId="18" xfId="1" applyNumberFormat="1" applyFont="1" applyFill="1" applyBorder="1" applyAlignment="1">
      <alignment horizontal="right"/>
    </xf>
    <xf numFmtId="166" fontId="2" fillId="6" borderId="18" xfId="1" applyNumberFormat="1" applyFont="1" applyFill="1" applyBorder="1" applyAlignment="1">
      <alignment horizontal="right"/>
    </xf>
    <xf numFmtId="43" fontId="2" fillId="4" borderId="18" xfId="1" applyFont="1" applyFill="1" applyBorder="1" applyAlignment="1">
      <alignment horizontal="right"/>
    </xf>
    <xf numFmtId="0" fontId="2" fillId="0" borderId="18" xfId="0" applyFont="1" applyBorder="1" applyAlignment="1">
      <alignment horizontal="left" indent="1"/>
    </xf>
    <xf numFmtId="171" fontId="2" fillId="0" borderId="0" xfId="0" applyNumberFormat="1" applyFont="1"/>
    <xf numFmtId="166" fontId="2" fillId="5" borderId="18" xfId="1" applyNumberFormat="1" applyFont="1" applyFill="1" applyBorder="1" applyAlignment="1">
      <alignment horizontal="right"/>
    </xf>
    <xf numFmtId="0" fontId="2" fillId="0" borderId="19" xfId="0" applyFont="1" applyBorder="1"/>
    <xf numFmtId="166" fontId="2" fillId="0" borderId="19" xfId="1" applyNumberFormat="1" applyFont="1" applyBorder="1" applyAlignment="1">
      <alignment horizontal="right"/>
    </xf>
    <xf numFmtId="0" fontId="2" fillId="0" borderId="20" xfId="0" applyFont="1" applyBorder="1"/>
    <xf numFmtId="0" fontId="2" fillId="5" borderId="18" xfId="0" applyFont="1" applyFill="1" applyBorder="1" applyAlignment="1">
      <alignment horizontal="right"/>
    </xf>
    <xf numFmtId="166" fontId="2" fillId="3" borderId="18" xfId="1" applyNumberFormat="1" applyFont="1" applyFill="1" applyBorder="1" applyAlignment="1">
      <alignment horizontal="right"/>
    </xf>
    <xf numFmtId="9" fontId="2" fillId="3" borderId="18" xfId="2" applyFont="1" applyFill="1" applyBorder="1" applyAlignment="1">
      <alignment horizontal="right"/>
    </xf>
    <xf numFmtId="166" fontId="2" fillId="0" borderId="21" xfId="1" applyNumberFormat="1" applyFont="1" applyBorder="1" applyAlignment="1">
      <alignment horizontal="right"/>
    </xf>
    <xf numFmtId="10" fontId="2" fillId="0" borderId="0" xfId="1" applyNumberFormat="1" applyFont="1" applyFill="1" applyBorder="1" applyAlignment="1">
      <alignment horizontal="right"/>
    </xf>
    <xf numFmtId="166" fontId="2" fillId="0" borderId="18" xfId="0" applyNumberFormat="1" applyFont="1" applyBorder="1"/>
    <xf numFmtId="169" fontId="2" fillId="3" borderId="18" xfId="0" applyNumberFormat="1" applyFont="1" applyFill="1" applyBorder="1"/>
    <xf numFmtId="166" fontId="2" fillId="3" borderId="18" xfId="1" applyNumberFormat="1" applyFont="1" applyFill="1" applyBorder="1"/>
    <xf numFmtId="166" fontId="2" fillId="0" borderId="18" xfId="1" applyNumberFormat="1" applyFont="1" applyBorder="1"/>
    <xf numFmtId="43" fontId="2" fillId="3" borderId="18" xfId="1" applyFont="1" applyFill="1" applyBorder="1" applyAlignment="1">
      <alignment horizontal="right"/>
    </xf>
    <xf numFmtId="166" fontId="2" fillId="3" borderId="18" xfId="2" applyNumberFormat="1" applyFont="1" applyFill="1" applyBorder="1" applyAlignment="1">
      <alignment horizontal="right"/>
    </xf>
    <xf numFmtId="10" fontId="2" fillId="3" borderId="18" xfId="2" applyNumberFormat="1" applyFont="1" applyFill="1" applyBorder="1" applyAlignment="1">
      <alignment horizontal="right"/>
    </xf>
    <xf numFmtId="10" fontId="2" fillId="3" borderId="18" xfId="1" applyNumberFormat="1" applyFont="1" applyFill="1" applyBorder="1" applyAlignment="1">
      <alignment horizontal="right"/>
    </xf>
    <xf numFmtId="165" fontId="2" fillId="3" borderId="18" xfId="1" applyNumberFormat="1" applyFont="1" applyFill="1" applyBorder="1" applyAlignment="1">
      <alignment horizontal="right"/>
    </xf>
    <xf numFmtId="43" fontId="2" fillId="3" borderId="0" xfId="1" applyFont="1" applyFill="1"/>
    <xf numFmtId="10" fontId="2" fillId="3" borderId="21" xfId="1" applyNumberFormat="1" applyFont="1" applyFill="1" applyBorder="1" applyAlignment="1">
      <alignment horizontal="right"/>
    </xf>
    <xf numFmtId="166" fontId="2" fillId="3" borderId="21" xfId="1" applyNumberFormat="1" applyFont="1" applyFill="1" applyBorder="1" applyAlignment="1">
      <alignment horizontal="right"/>
    </xf>
    <xf numFmtId="166" fontId="2" fillId="7" borderId="0" xfId="1" applyNumberFormat="1" applyFont="1" applyFill="1" applyAlignment="1">
      <alignment horizontal="right"/>
    </xf>
    <xf numFmtId="0" fontId="13" fillId="0" borderId="18" xfId="7" applyFont="1" applyBorder="1"/>
    <xf numFmtId="0" fontId="13" fillId="0" borderId="18" xfId="0" applyFont="1" applyBorder="1"/>
    <xf numFmtId="166" fontId="13" fillId="3" borderId="18" xfId="1" applyNumberFormat="1" applyFont="1" applyFill="1" applyBorder="1" applyAlignment="1">
      <alignment horizontal="right"/>
    </xf>
    <xf numFmtId="0" fontId="13" fillId="0" borderId="0" xfId="7" applyFont="1"/>
    <xf numFmtId="0" fontId="13" fillId="0" borderId="18" xfId="0" applyFont="1" applyBorder="1" applyAlignment="1">
      <alignment horizontal="left"/>
    </xf>
    <xf numFmtId="167" fontId="2" fillId="3" borderId="18" xfId="2" applyNumberFormat="1" applyFont="1" applyFill="1" applyBorder="1" applyAlignment="1">
      <alignment horizontal="right"/>
    </xf>
    <xf numFmtId="0" fontId="2" fillId="7" borderId="0" xfId="0" applyFont="1" applyFill="1"/>
    <xf numFmtId="0" fontId="14" fillId="5" borderId="18" xfId="0" applyFont="1" applyFill="1" applyBorder="1" applyAlignment="1">
      <alignment horizontal="center"/>
    </xf>
    <xf numFmtId="175" fontId="2" fillId="3" borderId="18" xfId="1" applyNumberFormat="1" applyFont="1" applyFill="1" applyBorder="1" applyAlignment="1">
      <alignment horizontal="right"/>
    </xf>
    <xf numFmtId="176" fontId="13" fillId="3" borderId="18" xfId="1" applyNumberFormat="1" applyFont="1" applyFill="1" applyBorder="1" applyAlignment="1">
      <alignment horizontal="right"/>
    </xf>
    <xf numFmtId="169" fontId="2" fillId="0" borderId="0" xfId="0" applyNumberFormat="1" applyFont="1"/>
    <xf numFmtId="43" fontId="2" fillId="5" borderId="18" xfId="1" applyFont="1" applyFill="1" applyBorder="1" applyAlignment="1">
      <alignment horizontal="right"/>
    </xf>
    <xf numFmtId="43" fontId="2" fillId="5" borderId="18" xfId="0" applyNumberFormat="1" applyFont="1" applyFill="1" applyBorder="1"/>
    <xf numFmtId="165" fontId="2" fillId="0" borderId="10" xfId="1" applyNumberFormat="1" applyFont="1" applyBorder="1"/>
    <xf numFmtId="165" fontId="2" fillId="0" borderId="0" xfId="0" applyNumberFormat="1" applyFont="1"/>
    <xf numFmtId="165" fontId="2" fillId="2" borderId="7" xfId="3" applyNumberFormat="1" applyFont="1" applyFill="1" applyBorder="1"/>
    <xf numFmtId="1" fontId="2" fillId="0" borderId="0" xfId="0" applyNumberFormat="1" applyFont="1"/>
    <xf numFmtId="169" fontId="2" fillId="0" borderId="18" xfId="7" applyNumberFormat="1" applyFont="1" applyBorder="1"/>
    <xf numFmtId="43" fontId="2" fillId="3" borderId="18" xfId="1" applyFont="1" applyFill="1" applyBorder="1"/>
    <xf numFmtId="0" fontId="1" fillId="0" borderId="18" xfId="7" applyFont="1" applyBorder="1"/>
    <xf numFmtId="10" fontId="7" fillId="5" borderId="18" xfId="5" applyNumberFormat="1" applyFont="1" applyFill="1" applyBorder="1" applyAlignment="1"/>
    <xf numFmtId="0" fontId="2" fillId="5" borderId="18" xfId="7" applyFont="1" applyFill="1" applyBorder="1"/>
    <xf numFmtId="10" fontId="7" fillId="0" borderId="18" xfId="5" applyNumberFormat="1" applyFont="1" applyFill="1" applyBorder="1" applyAlignment="1"/>
    <xf numFmtId="43" fontId="2" fillId="0" borderId="18" xfId="0" applyNumberFormat="1" applyFont="1" applyBorder="1"/>
    <xf numFmtId="2" fontId="2" fillId="0" borderId="18" xfId="0" applyNumberFormat="1" applyFont="1" applyBorder="1"/>
    <xf numFmtId="0" fontId="1" fillId="0" borderId="18" xfId="0" applyFont="1" applyBorder="1"/>
    <xf numFmtId="0" fontId="1" fillId="0" borderId="18" xfId="0" applyFont="1" applyBorder="1" applyAlignment="1">
      <alignment horizontal="left"/>
    </xf>
    <xf numFmtId="166" fontId="5" fillId="3" borderId="18" xfId="1" applyNumberFormat="1" applyFont="1" applyFill="1" applyBorder="1" applyAlignment="1">
      <alignment horizontal="right"/>
    </xf>
    <xf numFmtId="171" fontId="5" fillId="3" borderId="18" xfId="0" applyNumberFormat="1" applyFont="1" applyFill="1" applyBorder="1"/>
    <xf numFmtId="166" fontId="5" fillId="3" borderId="18" xfId="2" applyNumberFormat="1" applyFont="1" applyFill="1" applyBorder="1"/>
    <xf numFmtId="0" fontId="1" fillId="0" borderId="0" xfId="0" applyFont="1" applyAlignment="1">
      <alignment horizontal="left"/>
    </xf>
    <xf numFmtId="0" fontId="2" fillId="0" borderId="25" xfId="0" applyFont="1" applyBorder="1"/>
    <xf numFmtId="0" fontId="8" fillId="0" borderId="22" xfId="0" applyFont="1" applyBorder="1"/>
    <xf numFmtId="0" fontId="2" fillId="0" borderId="26" xfId="0" applyFont="1" applyBorder="1"/>
    <xf numFmtId="0" fontId="2" fillId="0" borderId="24" xfId="0" applyFont="1" applyBorder="1"/>
    <xf numFmtId="166" fontId="2" fillId="0" borderId="4" xfId="1" applyNumberFormat="1" applyFont="1" applyBorder="1"/>
    <xf numFmtId="166" fontId="2" fillId="0" borderId="4" xfId="3" applyNumberFormat="1" applyFont="1" applyBorder="1"/>
    <xf numFmtId="167" fontId="2" fillId="3" borderId="8" xfId="5" applyNumberFormat="1" applyFont="1" applyFill="1" applyBorder="1"/>
    <xf numFmtId="168" fontId="2" fillId="0" borderId="0" xfId="1" applyNumberFormat="1" applyFont="1"/>
    <xf numFmtId="168" fontId="2" fillId="0" borderId="5" xfId="1" applyNumberFormat="1" applyFont="1" applyBorder="1"/>
    <xf numFmtId="168" fontId="2" fillId="0" borderId="5" xfId="3" applyNumberFormat="1" applyFont="1" applyBorder="1"/>
    <xf numFmtId="168" fontId="2" fillId="3" borderId="6" xfId="1" applyNumberFormat="1" applyFont="1" applyFill="1" applyBorder="1"/>
    <xf numFmtId="168" fontId="2" fillId="3" borderId="7" xfId="1" applyNumberFormat="1" applyFont="1" applyFill="1" applyBorder="1"/>
    <xf numFmtId="168" fontId="2" fillId="3" borderId="8" xfId="1" applyNumberFormat="1" applyFont="1" applyFill="1" applyBorder="1"/>
    <xf numFmtId="167" fontId="2" fillId="0" borderId="13" xfId="0" applyNumberFormat="1" applyFont="1" applyBorder="1"/>
    <xf numFmtId="167" fontId="2" fillId="0" borderId="5" xfId="2" applyNumberFormat="1" applyFont="1" applyBorder="1"/>
    <xf numFmtId="167" fontId="7" fillId="3" borderId="8" xfId="4" applyNumberFormat="1" applyFont="1" applyFill="1" applyBorder="1"/>
    <xf numFmtId="170" fontId="0" fillId="0" borderId="0" xfId="8" applyNumberFormat="1" applyFont="1"/>
    <xf numFmtId="0" fontId="15" fillId="8" borderId="0" xfId="0" applyFont="1" applyFill="1" applyAlignment="1">
      <alignment horizontal="center"/>
    </xf>
    <xf numFmtId="0" fontId="15" fillId="8" borderId="27" xfId="0" applyFont="1" applyFill="1" applyBorder="1" applyAlignment="1">
      <alignment horizontal="center" vertical="center" wrapText="1"/>
    </xf>
    <xf numFmtId="0" fontId="15" fillId="8" borderId="27" xfId="0" applyFont="1" applyFill="1" applyBorder="1" applyAlignment="1">
      <alignment horizontal="center" vertical="center"/>
    </xf>
    <xf numFmtId="0" fontId="15" fillId="8" borderId="27" xfId="0" applyFont="1" applyFill="1" applyBorder="1" applyAlignment="1">
      <alignment horizontal="center" wrapText="1"/>
    </xf>
    <xf numFmtId="0" fontId="0" fillId="0" borderId="24" xfId="0" applyBorder="1"/>
    <xf numFmtId="170" fontId="0" fillId="0" borderId="24" xfId="8" applyNumberFormat="1" applyFont="1" applyBorder="1"/>
    <xf numFmtId="0" fontId="2" fillId="3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168" fontId="2" fillId="3" borderId="0" xfId="0" applyNumberFormat="1" applyFont="1" applyFill="1" applyAlignment="1">
      <alignment horizontal="right"/>
    </xf>
    <xf numFmtId="166" fontId="2" fillId="3" borderId="0" xfId="1" applyNumberFormat="1" applyFont="1" applyFill="1" applyAlignment="1">
      <alignment horizontal="right"/>
    </xf>
    <xf numFmtId="167" fontId="2" fillId="3" borderId="0" xfId="2" applyNumberFormat="1" applyFont="1" applyFill="1" applyAlignment="1">
      <alignment horizontal="right"/>
    </xf>
    <xf numFmtId="0" fontId="1" fillId="0" borderId="0" xfId="0" applyFont="1"/>
    <xf numFmtId="165" fontId="2" fillId="7" borderId="0" xfId="0" applyNumberFormat="1" applyFont="1" applyFill="1" applyAlignment="1">
      <alignment horizontal="right"/>
    </xf>
    <xf numFmtId="170" fontId="2" fillId="7" borderId="0" xfId="1" applyNumberFormat="1" applyFont="1" applyFill="1" applyBorder="1" applyAlignment="1">
      <alignment horizontal="right"/>
    </xf>
    <xf numFmtId="177" fontId="2" fillId="0" borderId="0" xfId="0" applyNumberFormat="1" applyFont="1"/>
    <xf numFmtId="166" fontId="2" fillId="0" borderId="0" xfId="0" applyNumberFormat="1" applyFont="1"/>
    <xf numFmtId="9" fontId="2" fillId="0" borderId="0" xfId="2" applyFont="1"/>
    <xf numFmtId="178" fontId="2" fillId="0" borderId="0" xfId="2" applyNumberFormat="1" applyFont="1"/>
    <xf numFmtId="165" fontId="16" fillId="3" borderId="18" xfId="1" applyNumberFormat="1" applyFont="1" applyFill="1" applyBorder="1" applyAlignment="1">
      <alignment horizontal="right"/>
    </xf>
    <xf numFmtId="165" fontId="1" fillId="3" borderId="18" xfId="1" applyNumberFormat="1" applyFont="1" applyFill="1" applyBorder="1" applyAlignment="1">
      <alignment horizontal="right"/>
    </xf>
    <xf numFmtId="0" fontId="2" fillId="9" borderId="18" xfId="7" applyFont="1" applyFill="1" applyBorder="1"/>
    <xf numFmtId="43" fontId="2" fillId="9" borderId="18" xfId="7" applyNumberFormat="1" applyFont="1" applyFill="1" applyBorder="1"/>
    <xf numFmtId="170" fontId="2" fillId="9" borderId="18" xfId="6" applyNumberFormat="1" applyFont="1" applyFill="1" applyBorder="1"/>
    <xf numFmtId="170" fontId="2" fillId="9" borderId="0" xfId="1" applyNumberFormat="1" applyFont="1" applyFill="1" applyBorder="1" applyAlignment="1">
      <alignment horizontal="right"/>
    </xf>
    <xf numFmtId="168" fontId="17" fillId="0" borderId="24" xfId="9" applyNumberFormat="1" applyFont="1" applyBorder="1"/>
    <xf numFmtId="0" fontId="18" fillId="8" borderId="27" xfId="9" applyFont="1" applyFill="1" applyBorder="1" applyAlignment="1">
      <alignment horizontal="center" vertical="center"/>
    </xf>
    <xf numFmtId="0" fontId="18" fillId="8" borderId="27" xfId="9" applyFont="1" applyFill="1" applyBorder="1" applyAlignment="1">
      <alignment horizontal="center" vertical="center" wrapText="1"/>
    </xf>
    <xf numFmtId="167" fontId="17" fillId="0" borderId="24" xfId="2" applyNumberFormat="1" applyFont="1" applyBorder="1"/>
    <xf numFmtId="1" fontId="19" fillId="10" borderId="0" xfId="9" applyNumberFormat="1" applyFont="1" applyFill="1"/>
    <xf numFmtId="0" fontId="7" fillId="5" borderId="22" xfId="7" applyFont="1" applyFill="1" applyBorder="1"/>
    <xf numFmtId="43" fontId="2" fillId="4" borderId="24" xfId="7" applyNumberFormat="1" applyFont="1" applyFill="1" applyBorder="1"/>
    <xf numFmtId="1" fontId="0" fillId="0" borderId="24" xfId="0" applyNumberFormat="1" applyBorder="1"/>
    <xf numFmtId="10" fontId="2" fillId="7" borderId="0" xfId="2" applyNumberFormat="1" applyFont="1" applyFill="1"/>
    <xf numFmtId="10" fontId="0" fillId="0" borderId="24" xfId="2" applyNumberFormat="1" applyFont="1" applyBorder="1"/>
    <xf numFmtId="0" fontId="0" fillId="11" borderId="24" xfId="0" applyFill="1" applyBorder="1"/>
    <xf numFmtId="176" fontId="2" fillId="0" borderId="0" xfId="0" applyNumberFormat="1" applyFont="1"/>
    <xf numFmtId="170" fontId="15" fillId="8" borderId="0" xfId="8" applyNumberFormat="1" applyFont="1" applyFill="1" applyAlignment="1">
      <alignment horizontal="center"/>
    </xf>
  </cellXfs>
  <cellStyles count="10">
    <cellStyle name="Comma" xfId="1" builtinId="3"/>
    <cellStyle name="Comma 2" xfId="6" xr:uid="{40F8E46F-4B60-41BF-98E6-902040E83711}"/>
    <cellStyle name="Comma 3" xfId="8" xr:uid="{9A0A637C-F476-480B-B786-D4FA41B26436}"/>
    <cellStyle name="Normal" xfId="0" builtinId="0"/>
    <cellStyle name="Normal 2" xfId="7" xr:uid="{A2E0AEEA-0C2E-42FF-A487-4F23DC48E595}"/>
    <cellStyle name="Normal 2 2" xfId="3" xr:uid="{B5FC54DC-74B7-4855-8588-891B3441A4A2}"/>
    <cellStyle name="Normal 3" xfId="9" xr:uid="{E9BCA0E6-B59E-4870-A283-CE5F91BDA37B}"/>
    <cellStyle name="Percent" xfId="2" builtinId="5"/>
    <cellStyle name="Percent 2" xfId="5" xr:uid="{66A8FB3E-EC81-4DB0-817B-78A9A4D84E9F}"/>
    <cellStyle name="Percent 2 2" xfId="4" xr:uid="{4DF53BE8-12C1-4D43-9F6E-80B7F236E8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packforallp-my.sharepoint.com/personal/minoti_banerjee_packfora_com/Documents/Unilever%20Cost%20Model/2.%20Models/Assumption/Assumption.xlsx" TargetMode="External"/><Relationship Id="rId1" Type="http://schemas.openxmlformats.org/officeDocument/2006/relationships/externalLinkPath" Target="/personal/minoti_banerjee_packfora_com/Documents/Unilever%20Cost%20Model/2.%20Models/Assumption/Assump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ia"/>
      <sheetName val="Database"/>
    </sheetNames>
    <sheetDataSet>
      <sheetData sheetId="0"/>
      <sheetData sheetId="1">
        <row r="1">
          <cell r="A1">
            <v>2032479284.1398742</v>
          </cell>
        </row>
        <row r="4">
          <cell r="D4" t="str">
            <v>Electricity Rate</v>
          </cell>
          <cell r="E4" t="str">
            <v>Skilled Labour</v>
          </cell>
          <cell r="F4" t="str">
            <v>Engineer</v>
          </cell>
          <cell r="G4" t="str">
            <v>Production Manager</v>
          </cell>
          <cell r="H4" t="str">
            <v>Depreciation on P&amp;M</v>
          </cell>
          <cell r="I4" t="str">
            <v>Depreciation on Building</v>
          </cell>
          <cell r="J4" t="str">
            <v>Land Cost</v>
          </cell>
          <cell r="K4" t="str">
            <v>Building Cost</v>
          </cell>
          <cell r="L4" t="str">
            <v>Lease Cost</v>
          </cell>
          <cell r="M4" t="str">
            <v>Interest on Long Term Loan</v>
          </cell>
          <cell r="N4" t="str">
            <v>Interest on Working Capital</v>
          </cell>
          <cell r="O4" t="str">
            <v>Euro</v>
          </cell>
          <cell r="P4" t="str">
            <v>USD</v>
          </cell>
          <cell r="Q4" t="str">
            <v>Masterbatch</v>
          </cell>
          <cell r="R4" t="str">
            <v>Surfactants</v>
          </cell>
          <cell r="S4" t="str">
            <v>Additives</v>
          </cell>
          <cell r="T4" t="str">
            <v>Caustic Soda</v>
          </cell>
        </row>
        <row r="5">
          <cell r="A5" t="str">
            <v>Argentina</v>
          </cell>
          <cell r="D5">
            <v>129.15</v>
          </cell>
          <cell r="E5">
            <v>9792000</v>
          </cell>
          <cell r="F5">
            <v>1632000.0000000002</v>
          </cell>
          <cell r="G5">
            <v>13056000.000000002</v>
          </cell>
          <cell r="H5">
            <v>0.1</v>
          </cell>
          <cell r="I5">
            <v>0.02</v>
          </cell>
          <cell r="J5">
            <v>194373</v>
          </cell>
          <cell r="L5">
            <v>100148.96</v>
          </cell>
          <cell r="M5">
            <v>0.36959999999999998</v>
          </cell>
          <cell r="N5">
            <v>0.36959999999999998</v>
          </cell>
          <cell r="O5">
            <v>1684.16</v>
          </cell>
          <cell r="P5">
            <v>1451.24</v>
          </cell>
          <cell r="Q5">
            <v>0</v>
          </cell>
          <cell r="R5">
            <v>1291.7813998082456</v>
          </cell>
          <cell r="S5">
            <v>618.76329050814968</v>
          </cell>
          <cell r="T5">
            <v>645.89069990412281</v>
          </cell>
        </row>
        <row r="6">
          <cell r="A6" t="str">
            <v>Brazil</v>
          </cell>
          <cell r="D6">
            <v>0.65700000000000003</v>
          </cell>
          <cell r="E6">
            <v>73000</v>
          </cell>
          <cell r="F6">
            <v>210240</v>
          </cell>
          <cell r="G6">
            <v>315360</v>
          </cell>
          <cell r="H6">
            <v>0.1</v>
          </cell>
          <cell r="I6">
            <v>0.04</v>
          </cell>
          <cell r="J6">
            <v>2533.6</v>
          </cell>
          <cell r="K6">
            <v>14843.75</v>
          </cell>
          <cell r="L6">
            <v>161.679</v>
          </cell>
          <cell r="M6">
            <v>0.15</v>
          </cell>
          <cell r="N6">
            <v>0.15</v>
          </cell>
          <cell r="O6">
            <v>6.23</v>
          </cell>
          <cell r="P6">
            <v>5.37</v>
          </cell>
          <cell r="Q6">
            <v>0</v>
          </cell>
          <cell r="R6">
            <v>4.7785234899328861</v>
          </cell>
          <cell r="S6">
            <v>2.2889127516778527</v>
          </cell>
          <cell r="T6">
            <v>2.3892617449664431</v>
          </cell>
        </row>
        <row r="7">
          <cell r="A7" t="str">
            <v>China</v>
          </cell>
          <cell r="D7">
            <v>0.79400000000000004</v>
          </cell>
          <cell r="E7">
            <v>420000</v>
          </cell>
          <cell r="F7">
            <v>420000</v>
          </cell>
          <cell r="G7">
            <v>487199.99999999994</v>
          </cell>
          <cell r="H7">
            <v>0.1</v>
          </cell>
          <cell r="I7">
            <v>0.1</v>
          </cell>
          <cell r="J7">
            <v>1228.5</v>
          </cell>
          <cell r="K7">
            <v>1056.51</v>
          </cell>
          <cell r="L7">
            <v>3046.68</v>
          </cell>
          <cell r="M7">
            <v>4.9000000000000002E-2</v>
          </cell>
          <cell r="N7">
            <v>0.03</v>
          </cell>
          <cell r="O7">
            <v>8.19</v>
          </cell>
          <cell r="P7">
            <v>7.11</v>
          </cell>
          <cell r="Q7">
            <v>0</v>
          </cell>
          <cell r="R7">
            <v>6.2818791946308723</v>
          </cell>
          <cell r="S7">
            <v>3.0090201342281881</v>
          </cell>
          <cell r="T7">
            <v>3.1409395973154361</v>
          </cell>
        </row>
        <row r="8">
          <cell r="A8" t="str">
            <v>France</v>
          </cell>
          <cell r="D8">
            <v>0.153</v>
          </cell>
          <cell r="E8">
            <v>34800</v>
          </cell>
          <cell r="F8">
            <v>71050</v>
          </cell>
          <cell r="G8">
            <v>94250</v>
          </cell>
          <cell r="H8">
            <v>0.1</v>
          </cell>
          <cell r="I8">
            <v>0.1</v>
          </cell>
          <cell r="M8">
            <v>3.4500000000000003E-2</v>
          </cell>
          <cell r="N8">
            <v>3.4500000000000003E-2</v>
          </cell>
          <cell r="O8">
            <v>1</v>
          </cell>
          <cell r="P8">
            <v>0.86</v>
          </cell>
          <cell r="Q8">
            <v>0</v>
          </cell>
          <cell r="R8">
            <v>0.76701821668264625</v>
          </cell>
          <cell r="S8">
            <v>0.36740172579098757</v>
          </cell>
          <cell r="T8">
            <v>0.38350910834132312</v>
          </cell>
        </row>
        <row r="9">
          <cell r="A9" t="str">
            <v>Germany</v>
          </cell>
          <cell r="D9">
            <v>0.251</v>
          </cell>
          <cell r="E9">
            <v>36000</v>
          </cell>
          <cell r="F9">
            <v>75000</v>
          </cell>
          <cell r="G9">
            <v>85000</v>
          </cell>
          <cell r="H9">
            <v>0.1</v>
          </cell>
          <cell r="I9">
            <v>0.1</v>
          </cell>
          <cell r="M9">
            <v>3.95E-2</v>
          </cell>
          <cell r="N9">
            <v>3.95E-2</v>
          </cell>
          <cell r="O9">
            <v>1</v>
          </cell>
          <cell r="P9">
            <v>0.86</v>
          </cell>
          <cell r="Q9">
            <v>0</v>
          </cell>
          <cell r="R9">
            <v>0.76701821668264625</v>
          </cell>
          <cell r="S9">
            <v>0.36740172579098757</v>
          </cell>
          <cell r="T9">
            <v>0.38350910834132312</v>
          </cell>
        </row>
        <row r="10">
          <cell r="A10" t="str">
            <v>Hungary</v>
          </cell>
          <cell r="D10">
            <v>92.17</v>
          </cell>
          <cell r="E10">
            <v>4476000</v>
          </cell>
          <cell r="F10">
            <v>10800000</v>
          </cell>
          <cell r="G10">
            <v>16560000.000000002</v>
          </cell>
          <cell r="H10">
            <v>0.02</v>
          </cell>
          <cell r="I10">
            <v>0.14499999999999999</v>
          </cell>
          <cell r="M10">
            <v>7.4999999999999997E-2</v>
          </cell>
          <cell r="N10">
            <v>0.03</v>
          </cell>
          <cell r="O10">
            <v>381.2</v>
          </cell>
          <cell r="P10">
            <v>328.47</v>
          </cell>
          <cell r="Q10">
            <v>0</v>
          </cell>
          <cell r="R10">
            <v>292.38734419942472</v>
          </cell>
          <cell r="S10">
            <v>140.05353787152447</v>
          </cell>
          <cell r="T10">
            <v>146.19367209971236</v>
          </cell>
        </row>
        <row r="11">
          <cell r="A11" t="str">
            <v>India</v>
          </cell>
          <cell r="D11">
            <v>10.72</v>
          </cell>
          <cell r="E11">
            <v>541800</v>
          </cell>
          <cell r="F11">
            <v>1260000</v>
          </cell>
          <cell r="G11">
            <v>1890000</v>
          </cell>
          <cell r="H11">
            <v>0.15</v>
          </cell>
          <cell r="I11">
            <v>0.1</v>
          </cell>
          <cell r="J11">
            <v>23519.018667714194</v>
          </cell>
          <cell r="K11">
            <v>7000</v>
          </cell>
          <cell r="L11">
            <v>2136.331306739994</v>
          </cell>
          <cell r="M11">
            <v>0.125</v>
          </cell>
          <cell r="N11">
            <v>0.14000000000000001</v>
          </cell>
          <cell r="O11">
            <v>104.27</v>
          </cell>
          <cell r="P11">
            <v>87</v>
          </cell>
          <cell r="Q11">
            <v>0</v>
          </cell>
          <cell r="R11">
            <v>79.976989453499527</v>
          </cell>
          <cell r="S11">
            <v>38.308977948226271</v>
          </cell>
          <cell r="T11">
            <v>39.988494726749764</v>
          </cell>
        </row>
        <row r="12">
          <cell r="A12" t="str">
            <v>Indonesia</v>
          </cell>
          <cell r="D12">
            <v>1114.74</v>
          </cell>
          <cell r="E12">
            <v>7332000</v>
          </cell>
          <cell r="F12">
            <v>19552000</v>
          </cell>
          <cell r="G12">
            <v>24440000</v>
          </cell>
          <cell r="H12">
            <v>0.25</v>
          </cell>
          <cell r="I12">
            <v>0.1</v>
          </cell>
          <cell r="J12">
            <v>1700000</v>
          </cell>
          <cell r="K12">
            <v>5500000</v>
          </cell>
          <cell r="L12">
            <v>420000</v>
          </cell>
          <cell r="M12">
            <v>0.1</v>
          </cell>
          <cell r="N12">
            <v>0.12</v>
          </cell>
          <cell r="O12">
            <v>19314.2</v>
          </cell>
          <cell r="P12">
            <v>16665.3</v>
          </cell>
          <cell r="Q12">
            <v>0</v>
          </cell>
          <cell r="R12">
            <v>14814.343240651966</v>
          </cell>
          <cell r="S12">
            <v>7096.0704122722927</v>
          </cell>
          <cell r="T12">
            <v>7407.171620325983</v>
          </cell>
        </row>
        <row r="13">
          <cell r="A13" t="str">
            <v>Mexico</v>
          </cell>
          <cell r="D13">
            <v>3.972</v>
          </cell>
          <cell r="E13">
            <v>180000</v>
          </cell>
          <cell r="F13">
            <v>492000</v>
          </cell>
          <cell r="G13">
            <v>852000</v>
          </cell>
          <cell r="H13">
            <v>0.1</v>
          </cell>
          <cell r="I13">
            <v>0.05</v>
          </cell>
          <cell r="M13">
            <v>7.2800000000000004E-2</v>
          </cell>
          <cell r="N13">
            <v>7.2800000000000004E-2</v>
          </cell>
          <cell r="O13">
            <v>21.26</v>
          </cell>
          <cell r="P13">
            <v>18.32</v>
          </cell>
          <cell r="Q13">
            <v>0</v>
          </cell>
          <cell r="R13">
            <v>16.30680728667306</v>
          </cell>
          <cell r="S13">
            <v>7.8109606903163966</v>
          </cell>
          <cell r="T13">
            <v>8.1534036433365298</v>
          </cell>
        </row>
        <row r="14">
          <cell r="A14" t="str">
            <v>Pakistan</v>
          </cell>
          <cell r="D14">
            <v>41.99</v>
          </cell>
          <cell r="E14">
            <v>504000</v>
          </cell>
          <cell r="F14">
            <v>384000</v>
          </cell>
          <cell r="G14">
            <v>2400000</v>
          </cell>
          <cell r="H14">
            <v>0.15</v>
          </cell>
          <cell r="I14">
            <v>0.1</v>
          </cell>
          <cell r="M14">
            <v>0.18</v>
          </cell>
          <cell r="N14">
            <v>0.09</v>
          </cell>
          <cell r="O14">
            <v>328.52</v>
          </cell>
          <cell r="P14">
            <v>282.99</v>
          </cell>
          <cell r="Q14">
            <v>0</v>
          </cell>
          <cell r="R14">
            <v>251.98082454458293</v>
          </cell>
          <cell r="S14">
            <v>120.69881495685523</v>
          </cell>
          <cell r="T14">
            <v>125.99041227229147</v>
          </cell>
        </row>
        <row r="15">
          <cell r="A15" t="str">
            <v>Philippines</v>
          </cell>
          <cell r="D15">
            <v>8.8469999999999995</v>
          </cell>
          <cell r="E15">
            <v>242879.99999999997</v>
          </cell>
          <cell r="F15">
            <v>473470.52499999997</v>
          </cell>
          <cell r="G15">
            <v>538167.68499999994</v>
          </cell>
          <cell r="H15">
            <v>0.1</v>
          </cell>
          <cell r="I15">
            <v>0.1</v>
          </cell>
          <cell r="J15">
            <v>16240</v>
          </cell>
          <cell r="K15">
            <v>20000</v>
          </cell>
          <cell r="L15">
            <v>3240</v>
          </cell>
          <cell r="M15">
            <v>0.1</v>
          </cell>
          <cell r="N15">
            <v>8.6300000000000002E-2</v>
          </cell>
          <cell r="O15">
            <v>67.87</v>
          </cell>
          <cell r="P15">
            <v>58.89</v>
          </cell>
          <cell r="Q15">
            <v>0</v>
          </cell>
          <cell r="R15">
            <v>52.057526366251203</v>
          </cell>
          <cell r="S15">
            <v>24.935555129434327</v>
          </cell>
          <cell r="T15">
            <v>26.028763183125601</v>
          </cell>
        </row>
        <row r="16">
          <cell r="A16" t="str">
            <v>South Africa</v>
          </cell>
          <cell r="D16">
            <v>1.7949999999999999</v>
          </cell>
          <cell r="E16">
            <v>231858</v>
          </cell>
          <cell r="F16">
            <v>494630.40000000002</v>
          </cell>
          <cell r="G16">
            <v>772860</v>
          </cell>
          <cell r="H16">
            <v>0.2</v>
          </cell>
          <cell r="I16">
            <v>0.05</v>
          </cell>
          <cell r="M16">
            <v>0.10249999999999999</v>
          </cell>
          <cell r="N16">
            <v>0.27500000000000002</v>
          </cell>
          <cell r="O16">
            <v>19.88</v>
          </cell>
          <cell r="P16">
            <v>17.13</v>
          </cell>
          <cell r="Q16">
            <v>0</v>
          </cell>
          <cell r="R16">
            <v>15.248322147651006</v>
          </cell>
          <cell r="S16">
            <v>7.3039463087248322</v>
          </cell>
          <cell r="T16">
            <v>7.624161073825503</v>
          </cell>
        </row>
        <row r="17">
          <cell r="A17" t="str">
            <v>Turkey</v>
          </cell>
          <cell r="D17">
            <v>4.3499999999999996</v>
          </cell>
          <cell r="E17">
            <v>281880</v>
          </cell>
          <cell r="F17">
            <v>548100</v>
          </cell>
          <cell r="G17">
            <v>532440</v>
          </cell>
          <cell r="H17">
            <v>0.1</v>
          </cell>
          <cell r="I17">
            <v>0.1</v>
          </cell>
          <cell r="M17">
            <v>0.42499999999999999</v>
          </cell>
          <cell r="N17">
            <v>0.39500000000000002</v>
          </cell>
          <cell r="O17">
            <v>49.29</v>
          </cell>
          <cell r="P17">
            <v>42.43</v>
          </cell>
          <cell r="Q17">
            <v>0</v>
          </cell>
          <cell r="R17">
            <v>37.806327900287634</v>
          </cell>
          <cell r="S17">
            <v>18.109231064237775</v>
          </cell>
          <cell r="T17">
            <v>18.903163950143817</v>
          </cell>
        </row>
        <row r="18">
          <cell r="A18" t="str">
            <v>United Kingdom</v>
          </cell>
          <cell r="D18">
            <v>0.34599999999999997</v>
          </cell>
          <cell r="E18">
            <v>39900</v>
          </cell>
          <cell r="F18">
            <v>57190</v>
          </cell>
          <cell r="G18">
            <v>66500</v>
          </cell>
          <cell r="H18">
            <v>0.18</v>
          </cell>
          <cell r="I18">
            <v>0.03</v>
          </cell>
          <cell r="M18">
            <v>0.112</v>
          </cell>
          <cell r="N18">
            <v>0.113</v>
          </cell>
          <cell r="O18">
            <v>0.88</v>
          </cell>
          <cell r="P18">
            <v>0.76</v>
          </cell>
          <cell r="Q18">
            <v>0</v>
          </cell>
          <cell r="R18">
            <v>0.67497603068072876</v>
          </cell>
          <cell r="S18">
            <v>0.32331351869606906</v>
          </cell>
          <cell r="T18">
            <v>0.33748801534036438</v>
          </cell>
        </row>
        <row r="19">
          <cell r="A19" t="str">
            <v>United States</v>
          </cell>
          <cell r="D19">
            <v>0.14899999999999999</v>
          </cell>
          <cell r="E19">
            <v>98250.599999999991</v>
          </cell>
          <cell r="F19">
            <v>130993.79999999999</v>
          </cell>
          <cell r="G19">
            <v>117125.4</v>
          </cell>
          <cell r="H19">
            <v>0.1</v>
          </cell>
          <cell r="I19">
            <v>0.1</v>
          </cell>
          <cell r="J19">
            <v>2.4700000000000002</v>
          </cell>
          <cell r="M19">
            <v>3.8899999999999997E-2</v>
          </cell>
          <cell r="N19">
            <v>3.6400000000000002E-2</v>
          </cell>
          <cell r="O19">
            <v>1.1599999999999999</v>
          </cell>
          <cell r="P19">
            <v>1</v>
          </cell>
          <cell r="Q19">
            <v>0</v>
          </cell>
          <cell r="R19">
            <v>0.88974113135186961</v>
          </cell>
          <cell r="S19">
            <v>0.42618600191754552</v>
          </cell>
          <cell r="T19">
            <v>0.4448705656759348</v>
          </cell>
        </row>
        <row r="20">
          <cell r="A20" t="str">
            <v>Vietnam</v>
          </cell>
          <cell r="D20">
            <v>1744</v>
          </cell>
          <cell r="E20">
            <v>139920000</v>
          </cell>
          <cell r="F20">
            <v>827162156.94999993</v>
          </cell>
          <cell r="G20">
            <v>921734762.02499998</v>
          </cell>
          <cell r="H20">
            <v>0.1</v>
          </cell>
          <cell r="I20">
            <v>0.1</v>
          </cell>
          <cell r="J20">
            <v>3586051.86</v>
          </cell>
          <cell r="K20">
            <v>3403710.24</v>
          </cell>
          <cell r="L20">
            <v>5470248.5999999996</v>
          </cell>
          <cell r="M20">
            <v>5.8999999999999997E-2</v>
          </cell>
          <cell r="N20">
            <v>6.2E-2</v>
          </cell>
          <cell r="O20">
            <v>30390.27</v>
          </cell>
          <cell r="P20">
            <v>26369</v>
          </cell>
          <cell r="Q20">
            <v>0</v>
          </cell>
          <cell r="R20">
            <v>23309.890699904125</v>
          </cell>
          <cell r="S20">
            <v>11165.437645254076</v>
          </cell>
          <cell r="T20">
            <v>11654.945349952062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9842D-B656-4850-B0E3-14DC9012BF33}">
  <dimension ref="A1:N37"/>
  <sheetViews>
    <sheetView showGridLines="0" workbookViewId="0">
      <pane xSplit="1" topLeftCell="B1" activePane="topRight" state="frozen"/>
      <selection activeCell="B5" sqref="B5"/>
      <selection pane="topRight" activeCell="B10" sqref="B10"/>
    </sheetView>
  </sheetViews>
  <sheetFormatPr defaultColWidth="9.1328125" defaultRowHeight="11.65" x14ac:dyDescent="0.35"/>
  <cols>
    <col min="1" max="1" width="21.53125" style="61" customWidth="1"/>
    <col min="2" max="2" width="13.796875" style="61" customWidth="1"/>
    <col min="3" max="3" width="9.1328125" style="61"/>
    <col min="4" max="4" width="15" style="61" customWidth="1"/>
    <col min="5" max="10" width="9.1328125" style="61"/>
    <col min="11" max="11" width="10.796875" style="61" bestFit="1" customWidth="1"/>
    <col min="12" max="16384" width="9.1328125" style="61"/>
  </cols>
  <sheetData>
    <row r="1" spans="1:10" x14ac:dyDescent="0.35">
      <c r="A1" s="77" t="str">
        <f>"Country "&amp;input!C4</f>
        <v>Country India</v>
      </c>
      <c r="B1" s="78" t="str">
        <f>"Currency "&amp;input!C5</f>
        <v>Currency INR</v>
      </c>
      <c r="C1" s="78" t="str">
        <f>"Supplier "&amp;input!C6</f>
        <v>Supplier Silvassa</v>
      </c>
      <c r="D1" s="79"/>
    </row>
    <row r="2" spans="1:10" x14ac:dyDescent="0.35">
      <c r="A2" s="80" t="str">
        <f>"Product "&amp;input!C2</f>
        <v>Product Lifeboy 125g</v>
      </c>
      <c r="B2" s="61" t="str">
        <f>"Period "&amp;input!C7</f>
        <v>Period Sep25</v>
      </c>
      <c r="C2" s="61" t="s">
        <v>0</v>
      </c>
      <c r="D2" s="81" t="str">
        <f>input!C3</f>
        <v>xxxxx</v>
      </c>
    </row>
    <row r="3" spans="1:10" ht="12" thickBot="1" x14ac:dyDescent="0.4">
      <c r="A3" s="80" t="str">
        <f>input!A8&amp;" "&amp;input!B8</f>
        <v>Annual Volume  pcs</v>
      </c>
      <c r="B3" s="82">
        <f>input!C8</f>
        <v>4913500</v>
      </c>
      <c r="C3" s="61" t="str">
        <f>"Payment term "&amp;input!C111&amp;" days"</f>
        <v>Payment term 60 days</v>
      </c>
      <c r="D3" s="81"/>
    </row>
    <row r="4" spans="1:10" ht="12" thickBot="1" x14ac:dyDescent="0.4">
      <c r="A4" s="83" t="s">
        <v>1</v>
      </c>
      <c r="B4" s="84" t="str">
        <f>input!C5&amp;"/1000"</f>
        <v>INR/1000</v>
      </c>
      <c r="C4" s="84" t="s">
        <v>2</v>
      </c>
      <c r="D4" s="85" t="s">
        <v>3</v>
      </c>
    </row>
    <row r="5" spans="1:10" x14ac:dyDescent="0.35">
      <c r="A5" s="80" t="s">
        <v>4</v>
      </c>
      <c r="B5" s="86">
        <f>B12</f>
        <v>9461.6804873231922</v>
      </c>
      <c r="C5" s="86">
        <f>B5/input!$C$102</f>
        <v>90.742116498735896</v>
      </c>
      <c r="D5" s="208">
        <f t="shared" ref="D5:D10" si="0">B5/$B$10</f>
        <v>0.7375451863822392</v>
      </c>
      <c r="F5" s="179"/>
      <c r="G5" s="173"/>
      <c r="I5" s="87"/>
      <c r="J5" s="87"/>
    </row>
    <row r="6" spans="1:10" x14ac:dyDescent="0.35">
      <c r="A6" s="80" t="s">
        <v>5</v>
      </c>
      <c r="B6" s="86">
        <f>B15</f>
        <v>1842.1048156949912</v>
      </c>
      <c r="C6" s="86">
        <f>B6/input!$C$102</f>
        <v>17.666680883235745</v>
      </c>
      <c r="D6" s="208">
        <f t="shared" si="0"/>
        <v>0.14359347067866954</v>
      </c>
      <c r="F6" s="179"/>
      <c r="G6" s="173"/>
      <c r="I6" s="87"/>
      <c r="J6" s="87"/>
    </row>
    <row r="7" spans="1:10" x14ac:dyDescent="0.35">
      <c r="A7" s="80" t="s">
        <v>6</v>
      </c>
      <c r="B7" s="82">
        <f>B25</f>
        <v>368.42096313899827</v>
      </c>
      <c r="C7" s="86">
        <f>B7/input!$C$102</f>
        <v>3.5333361766471496</v>
      </c>
      <c r="D7" s="208">
        <f t="shared" si="0"/>
        <v>2.8718694135733913E-2</v>
      </c>
      <c r="F7" s="179"/>
      <c r="G7" s="173"/>
      <c r="I7" s="87"/>
      <c r="J7" s="87"/>
    </row>
    <row r="8" spans="1:10" x14ac:dyDescent="0.35">
      <c r="A8" s="80" t="s">
        <v>7</v>
      </c>
      <c r="B8" s="82">
        <f>B28</f>
        <v>156.405</v>
      </c>
      <c r="C8" s="86">
        <f>B8/input!$C$102</f>
        <v>1.5</v>
      </c>
      <c r="D8" s="208">
        <f t="shared" si="0"/>
        <v>1.2191888642896824E-2</v>
      </c>
      <c r="F8" s="179"/>
      <c r="G8" s="173"/>
      <c r="I8" s="87"/>
      <c r="J8" s="87"/>
    </row>
    <row r="9" spans="1:10" ht="12" thickBot="1" x14ac:dyDescent="0.4">
      <c r="A9" s="80" t="s">
        <v>8</v>
      </c>
      <c r="B9" s="82">
        <f>B29</f>
        <v>1000</v>
      </c>
      <c r="C9" s="86">
        <f>B9/input!$C$102</f>
        <v>9.5904862376522502</v>
      </c>
      <c r="D9" s="208">
        <f t="shared" si="0"/>
        <v>7.79507601604605E-2</v>
      </c>
      <c r="F9" s="179"/>
      <c r="G9" s="173"/>
      <c r="I9" s="87"/>
      <c r="J9" s="87"/>
    </row>
    <row r="10" spans="1:10" ht="12" thickBot="1" x14ac:dyDescent="0.4">
      <c r="A10" s="88" t="s">
        <v>9</v>
      </c>
      <c r="B10" s="89">
        <f>SUM(B5:B9)</f>
        <v>12828.611266157182</v>
      </c>
      <c r="C10" s="89">
        <f>SUM(C5:C9)</f>
        <v>123.03261979627104</v>
      </c>
      <c r="D10" s="209">
        <f t="shared" si="0"/>
        <v>1</v>
      </c>
      <c r="F10" s="179"/>
      <c r="G10" s="173"/>
      <c r="I10" s="87"/>
      <c r="J10" s="87"/>
    </row>
    <row r="11" spans="1:10" x14ac:dyDescent="0.35">
      <c r="A11" s="90"/>
      <c r="B11" s="176"/>
      <c r="C11" s="91"/>
      <c r="D11" s="92"/>
      <c r="F11" s="179"/>
      <c r="G11" s="173"/>
      <c r="I11" s="87"/>
      <c r="J11" s="87"/>
    </row>
    <row r="12" spans="1:10" x14ac:dyDescent="0.35">
      <c r="A12" s="93" t="s">
        <v>10</v>
      </c>
      <c r="B12" s="94">
        <f>SUM(B13:B13)</f>
        <v>9461.6804873231922</v>
      </c>
      <c r="C12" s="94">
        <f>SUM(C13:C13)</f>
        <v>90.742116498735896</v>
      </c>
      <c r="D12" s="95">
        <f>B12/$B$10</f>
        <v>0.7375451863822392</v>
      </c>
      <c r="F12" s="179"/>
      <c r="G12" s="173"/>
      <c r="I12" s="87"/>
      <c r="J12" s="87"/>
    </row>
    <row r="13" spans="1:10" x14ac:dyDescent="0.35">
      <c r="A13" s="96" t="s">
        <v>398</v>
      </c>
      <c r="B13" s="86">
        <f>material!D44</f>
        <v>9461.6804873231922</v>
      </c>
      <c r="C13" s="86">
        <f>B13/input!$C$102</f>
        <v>90.742116498735896</v>
      </c>
      <c r="D13" s="97">
        <f>B13/$B$10</f>
        <v>0.7375451863822392</v>
      </c>
      <c r="F13" s="179"/>
      <c r="G13" s="173"/>
      <c r="I13" s="87"/>
      <c r="J13" s="87"/>
    </row>
    <row r="14" spans="1:10" x14ac:dyDescent="0.35">
      <c r="A14" s="96"/>
      <c r="B14" s="86"/>
      <c r="C14" s="86"/>
      <c r="D14" s="207"/>
      <c r="F14" s="179"/>
      <c r="G14" s="173"/>
      <c r="I14" s="87"/>
      <c r="J14" s="87"/>
    </row>
    <row r="15" spans="1:10" x14ac:dyDescent="0.35">
      <c r="A15" s="93" t="s">
        <v>11</v>
      </c>
      <c r="B15" s="82">
        <f>SUM(B16:B23)</f>
        <v>1842.1048156949912</v>
      </c>
      <c r="C15" s="82">
        <f>SUM(C16:C23)</f>
        <v>17.666680883235749</v>
      </c>
      <c r="D15" s="100">
        <f t="shared" ref="D15:D23" si="1">B15/$B$10</f>
        <v>0.14359347067866954</v>
      </c>
      <c r="F15" s="179"/>
      <c r="G15" s="173"/>
      <c r="H15" s="98"/>
      <c r="I15" s="87"/>
      <c r="J15" s="87"/>
    </row>
    <row r="16" spans="1:10" x14ac:dyDescent="0.35">
      <c r="A16" s="99" t="s">
        <v>12</v>
      </c>
      <c r="B16" s="82">
        <f>conversion!D151</f>
        <v>555.70445887181575</v>
      </c>
      <c r="C16" s="86">
        <f>B16/input!$C$102</f>
        <v>5.329475965012139</v>
      </c>
      <c r="D16" s="100">
        <f t="shared" si="1"/>
        <v>4.3317584993615398E-2</v>
      </c>
      <c r="F16" s="179"/>
      <c r="G16" s="173"/>
      <c r="H16" s="98"/>
      <c r="I16" s="87"/>
      <c r="J16" s="87"/>
    </row>
    <row r="17" spans="1:14" x14ac:dyDescent="0.35">
      <c r="A17" s="99" t="s">
        <v>13</v>
      </c>
      <c r="B17" s="82">
        <f>conversion!D153</f>
        <v>166.47367825116947</v>
      </c>
      <c r="C17" s="86">
        <f>B17/input!$C$102</f>
        <v>1.5965635201991895</v>
      </c>
      <c r="D17" s="100">
        <f t="shared" si="1"/>
        <v>1.297674976638658E-2</v>
      </c>
      <c r="F17" s="179"/>
      <c r="G17" s="173"/>
      <c r="H17" s="98"/>
      <c r="I17" s="87"/>
      <c r="J17" s="87"/>
    </row>
    <row r="18" spans="1:14" x14ac:dyDescent="0.35">
      <c r="A18" s="99" t="s">
        <v>14</v>
      </c>
      <c r="B18" s="82">
        <f>conversion!E237</f>
        <v>299.47405365988152</v>
      </c>
      <c r="C18" s="86">
        <f>B18/input!$C$102</f>
        <v>2.8721017901590251</v>
      </c>
      <c r="D18" s="100">
        <f t="shared" si="1"/>
        <v>2.3344230131122301E-2</v>
      </c>
      <c r="F18" s="179"/>
      <c r="G18" s="173"/>
      <c r="H18" s="98"/>
      <c r="I18" s="87"/>
      <c r="J18" s="87"/>
    </row>
    <row r="19" spans="1:14" x14ac:dyDescent="0.35">
      <c r="A19" s="99" t="s">
        <v>15</v>
      </c>
      <c r="B19" s="82">
        <f>conversion!D129</f>
        <v>73.150838164536523</v>
      </c>
      <c r="C19" s="86">
        <f>B19/input!$C$102</f>
        <v>0.70155210668971446</v>
      </c>
      <c r="D19" s="100">
        <f t="shared" si="1"/>
        <v>5.7021634413004472E-3</v>
      </c>
      <c r="F19" s="179"/>
      <c r="G19" s="173"/>
      <c r="H19" s="98"/>
      <c r="I19" s="87"/>
      <c r="J19" s="87"/>
    </row>
    <row r="20" spans="1:14" x14ac:dyDescent="0.35">
      <c r="A20" s="99" t="s">
        <v>16</v>
      </c>
      <c r="B20" s="82">
        <f>conversion!D133</f>
        <v>73.150838164536523</v>
      </c>
      <c r="C20" s="86">
        <f>B20/input!$C$102</f>
        <v>0.70155210668971446</v>
      </c>
      <c r="D20" s="100">
        <f t="shared" si="1"/>
        <v>5.7021634413004472E-3</v>
      </c>
      <c r="F20" s="179"/>
      <c r="G20" s="173"/>
      <c r="H20" s="98"/>
      <c r="I20" s="87"/>
      <c r="J20" s="87"/>
    </row>
    <row r="21" spans="1:14" x14ac:dyDescent="0.35">
      <c r="A21" s="99" t="s">
        <v>17</v>
      </c>
      <c r="B21" s="82">
        <f>conversion!D241</f>
        <v>0</v>
      </c>
      <c r="C21" s="86">
        <f>B21/input!$C$102</f>
        <v>0</v>
      </c>
      <c r="D21" s="100">
        <f t="shared" si="1"/>
        <v>0</v>
      </c>
      <c r="F21" s="179"/>
      <c r="G21" s="173"/>
      <c r="H21" s="98"/>
      <c r="I21" s="87"/>
      <c r="J21" s="87"/>
    </row>
    <row r="22" spans="1:14" x14ac:dyDescent="0.35">
      <c r="A22" s="96" t="s">
        <v>18</v>
      </c>
      <c r="B22" s="82">
        <f>conversion!D115+conversion!E234</f>
        <v>230.6878419346807</v>
      </c>
      <c r="C22" s="86">
        <f>B22/input!$C$102</f>
        <v>2.2124085732682528</v>
      </c>
      <c r="D22" s="100">
        <f t="shared" si="1"/>
        <v>1.7982292638584519E-2</v>
      </c>
      <c r="F22" s="179"/>
      <c r="G22" s="173"/>
      <c r="I22" s="87"/>
      <c r="J22" s="87"/>
    </row>
    <row r="23" spans="1:14" x14ac:dyDescent="0.35">
      <c r="A23" s="96" t="s">
        <v>19</v>
      </c>
      <c r="B23" s="82">
        <f>conversion!D119+conversion!E235+conversion!D263</f>
        <v>443.46310664837091</v>
      </c>
      <c r="C23" s="86">
        <f>B23/input!$C$102</f>
        <v>4.2530268212177127</v>
      </c>
      <c r="D23" s="100">
        <f t="shared" si="1"/>
        <v>3.4568286266359875E-2</v>
      </c>
      <c r="F23" s="179"/>
      <c r="G23" s="173"/>
      <c r="I23" s="87"/>
      <c r="J23" s="87"/>
    </row>
    <row r="24" spans="1:14" x14ac:dyDescent="0.35">
      <c r="A24" s="96"/>
      <c r="B24" s="86"/>
      <c r="C24" s="86"/>
      <c r="D24" s="207"/>
      <c r="F24" s="179"/>
      <c r="G24" s="173"/>
      <c r="I24" s="87"/>
      <c r="J24" s="87"/>
    </row>
    <row r="25" spans="1:14" x14ac:dyDescent="0.35">
      <c r="A25" s="96" t="s">
        <v>6</v>
      </c>
      <c r="B25" s="86">
        <f>B15*input!C82</f>
        <v>368.42096313899827</v>
      </c>
      <c r="C25" s="86">
        <f>B25/input!$C$102</f>
        <v>3.5333361766471496</v>
      </c>
      <c r="D25" s="97">
        <f>B25/$B$10</f>
        <v>2.8718694135733913E-2</v>
      </c>
      <c r="F25" s="179"/>
      <c r="G25" s="173"/>
      <c r="I25" s="87"/>
    </row>
    <row r="26" spans="1:14" x14ac:dyDescent="0.35">
      <c r="A26" s="96"/>
      <c r="B26" s="86"/>
      <c r="C26" s="86"/>
      <c r="D26" s="207"/>
      <c r="F26" s="179"/>
      <c r="G26" s="173"/>
      <c r="I26" s="87"/>
    </row>
    <row r="27" spans="1:14" x14ac:dyDescent="0.35">
      <c r="A27" s="93" t="s">
        <v>20</v>
      </c>
      <c r="B27" s="94">
        <f>SUM(B28:B29)</f>
        <v>1156.405</v>
      </c>
      <c r="C27" s="94">
        <f>SUM(C28:C29)</f>
        <v>11.09048623765225</v>
      </c>
      <c r="D27" s="95">
        <f>B27/$B$10</f>
        <v>9.0142648803357317E-2</v>
      </c>
      <c r="F27" s="179"/>
      <c r="G27" s="173"/>
      <c r="I27" s="87"/>
    </row>
    <row r="28" spans="1:14" x14ac:dyDescent="0.35">
      <c r="A28" s="96" t="s">
        <v>7</v>
      </c>
      <c r="B28" s="86">
        <f>conversion!D248</f>
        <v>156.405</v>
      </c>
      <c r="C28" s="86">
        <f>B28/input!$C$102</f>
        <v>1.5</v>
      </c>
      <c r="D28" s="100">
        <f t="shared" ref="D28:D29" si="2">B28/$B$10</f>
        <v>1.2191888642896824E-2</v>
      </c>
      <c r="F28" s="179"/>
      <c r="G28" s="173"/>
      <c r="I28" s="87"/>
    </row>
    <row r="29" spans="1:14" ht="12" thickBot="1" x14ac:dyDescent="0.4">
      <c r="A29" s="101" t="s">
        <v>21</v>
      </c>
      <c r="B29" s="102">
        <f>conversion!D253</f>
        <v>1000</v>
      </c>
      <c r="C29" s="102">
        <f>B29/input!$C$102</f>
        <v>9.5904862376522502</v>
      </c>
      <c r="D29" s="103">
        <f t="shared" si="2"/>
        <v>7.79507601604605E-2</v>
      </c>
      <c r="F29" s="179"/>
      <c r="G29" s="173"/>
      <c r="I29" s="87"/>
    </row>
    <row r="30" spans="1:14" ht="12" thickBot="1" x14ac:dyDescent="0.4">
      <c r="B30" s="177"/>
      <c r="C30" s="86"/>
    </row>
    <row r="31" spans="1:14" ht="12" thickBot="1" x14ac:dyDescent="0.4">
      <c r="A31" s="83" t="s">
        <v>22</v>
      </c>
      <c r="B31" s="178" t="str">
        <f>B4</f>
        <v>INR/1000</v>
      </c>
      <c r="C31" s="84" t="str">
        <f>C4</f>
        <v>EUR/1000</v>
      </c>
      <c r="D31" s="84" t="str">
        <f>D4</f>
        <v>% of Total Cost</v>
      </c>
      <c r="E31" s="83" t="s">
        <v>4</v>
      </c>
      <c r="F31" s="84" t="s">
        <v>23</v>
      </c>
      <c r="G31" s="84" t="s">
        <v>24</v>
      </c>
      <c r="H31" s="84" t="s">
        <v>25</v>
      </c>
      <c r="I31" s="84" t="s">
        <v>26</v>
      </c>
      <c r="J31" s="84" t="s">
        <v>17</v>
      </c>
      <c r="K31" s="84" t="s">
        <v>18</v>
      </c>
      <c r="L31" s="84" t="s">
        <v>19</v>
      </c>
      <c r="M31" s="84" t="s">
        <v>27</v>
      </c>
      <c r="N31" s="85" t="s">
        <v>6</v>
      </c>
    </row>
    <row r="32" spans="1:14" x14ac:dyDescent="0.35">
      <c r="A32" s="104" t="s">
        <v>400</v>
      </c>
      <c r="B32" s="198">
        <f>SUM(E32:N32)</f>
        <v>9539.2766163441829</v>
      </c>
      <c r="C32" s="86">
        <f>B32/input!$C$102</f>
        <v>91.486301106206795</v>
      </c>
      <c r="D32" s="108">
        <f>B32/$B$36</f>
        <v>0.74359386362493451</v>
      </c>
      <c r="E32" s="105">
        <f>material!D44</f>
        <v>9461.6804873231922</v>
      </c>
      <c r="F32" s="201"/>
      <c r="G32" s="201"/>
      <c r="H32" s="201"/>
      <c r="I32" s="201"/>
      <c r="J32" s="201"/>
      <c r="K32" s="201"/>
      <c r="L32" s="201">
        <f>conversion!D263</f>
        <v>64.663440850825893</v>
      </c>
      <c r="M32" s="105"/>
      <c r="N32" s="202">
        <f>SUM(F32:M32)*input!$C$82</f>
        <v>12.932688170165179</v>
      </c>
    </row>
    <row r="33" spans="1:14" x14ac:dyDescent="0.35">
      <c r="A33" s="104" t="s">
        <v>501</v>
      </c>
      <c r="B33" s="198">
        <f>SUM(E33:N33)</f>
        <v>2132.9296498129984</v>
      </c>
      <c r="C33" s="86">
        <f>B33/input!$C$102</f>
        <v>20.455832452411993</v>
      </c>
      <c r="D33" s="108">
        <f>B33/$B$36</f>
        <v>0.16626348757170803</v>
      </c>
      <c r="E33" s="105"/>
      <c r="F33" s="201">
        <f>conversion!D151</f>
        <v>555.70445887181575</v>
      </c>
      <c r="G33" s="201">
        <f>conversion!D153+conversion!E237</f>
        <v>465.94773191105099</v>
      </c>
      <c r="H33" s="201">
        <f>conversion!D129</f>
        <v>73.150838164536523</v>
      </c>
      <c r="I33" s="201">
        <f>conversion!D133</f>
        <v>73.150838164536523</v>
      </c>
      <c r="J33" s="201">
        <f>conversion!D241</f>
        <v>0</v>
      </c>
      <c r="K33" s="201">
        <f>conversion!D115+conversion!E234</f>
        <v>230.6878419346807</v>
      </c>
      <c r="L33" s="201">
        <f>conversion!D119+conversion!E235</f>
        <v>378.799665797545</v>
      </c>
      <c r="M33" s="105"/>
      <c r="N33" s="202">
        <f>SUM(F33:M33)*input!$C$82</f>
        <v>355.48827496883308</v>
      </c>
    </row>
    <row r="34" spans="1:14" x14ac:dyDescent="0.35">
      <c r="A34" s="104" t="s">
        <v>28</v>
      </c>
      <c r="B34" s="198">
        <f>SUM(E34:N34)</f>
        <v>1156.405</v>
      </c>
      <c r="C34" s="86">
        <f>B34/input!$C$102</f>
        <v>11.090486237652248</v>
      </c>
      <c r="D34" s="108">
        <f>B34/$B$36</f>
        <v>9.0142648803357317E-2</v>
      </c>
      <c r="E34" s="105"/>
      <c r="F34" s="105"/>
      <c r="G34" s="105"/>
      <c r="H34" s="105"/>
      <c r="I34" s="105"/>
      <c r="J34" s="105"/>
      <c r="K34" s="105"/>
      <c r="L34" s="105"/>
      <c r="M34" s="105">
        <f>conversion!D253+conversion!D248</f>
        <v>1156.405</v>
      </c>
      <c r="N34" s="202"/>
    </row>
    <row r="35" spans="1:14" ht="12" thickBot="1" x14ac:dyDescent="0.4">
      <c r="A35" s="104"/>
      <c r="B35" s="199"/>
      <c r="C35" s="86"/>
      <c r="D35" s="108"/>
      <c r="E35" s="105"/>
      <c r="F35" s="105"/>
      <c r="G35" s="105"/>
      <c r="H35" s="105"/>
      <c r="I35" s="105"/>
      <c r="J35" s="105"/>
      <c r="K35" s="105"/>
      <c r="L35" s="105"/>
      <c r="M35" s="105"/>
      <c r="N35" s="203"/>
    </row>
    <row r="36" spans="1:14" ht="12" thickBot="1" x14ac:dyDescent="0.4">
      <c r="A36" s="109"/>
      <c r="B36" s="110">
        <f>SUM(B32:B34)</f>
        <v>12828.611266157182</v>
      </c>
      <c r="C36" s="111">
        <f>SUM(C32:C34)</f>
        <v>123.03261979627104</v>
      </c>
      <c r="D36" s="200">
        <f>B36/$B$36</f>
        <v>1</v>
      </c>
      <c r="E36" s="204">
        <f t="shared" ref="E36:N36" si="3">SUM(E32:E34)</f>
        <v>9461.6804873231922</v>
      </c>
      <c r="F36" s="205">
        <f t="shared" si="3"/>
        <v>555.70445887181575</v>
      </c>
      <c r="G36" s="205">
        <f t="shared" si="3"/>
        <v>465.94773191105099</v>
      </c>
      <c r="H36" s="205">
        <f t="shared" si="3"/>
        <v>73.150838164536523</v>
      </c>
      <c r="I36" s="205">
        <f t="shared" si="3"/>
        <v>73.150838164536523</v>
      </c>
      <c r="J36" s="205">
        <f t="shared" si="3"/>
        <v>0</v>
      </c>
      <c r="K36" s="205">
        <f t="shared" si="3"/>
        <v>230.6878419346807</v>
      </c>
      <c r="L36" s="205">
        <f t="shared" si="3"/>
        <v>443.46310664837091</v>
      </c>
      <c r="M36" s="205">
        <f t="shared" si="3"/>
        <v>1156.405</v>
      </c>
      <c r="N36" s="206">
        <f t="shared" si="3"/>
        <v>368.42096313899827</v>
      </c>
    </row>
    <row r="37" spans="1:14" x14ac:dyDescent="0.35">
      <c r="A37" s="104"/>
      <c r="B37" s="112">
        <f>B36-B10</f>
        <v>0</v>
      </c>
      <c r="C37" s="112">
        <f>C36-C10</f>
        <v>0</v>
      </c>
      <c r="D37" s="106"/>
      <c r="E37" s="113">
        <f>E36-B5</f>
        <v>0</v>
      </c>
      <c r="F37" s="107">
        <f>F36-B16</f>
        <v>0</v>
      </c>
      <c r="G37" s="107">
        <f>G36-B17-B18</f>
        <v>0</v>
      </c>
      <c r="H37" s="107">
        <f>H36-B19</f>
        <v>0</v>
      </c>
      <c r="I37" s="107">
        <f>I36-B20</f>
        <v>0</v>
      </c>
      <c r="J37" s="107"/>
      <c r="K37" s="107">
        <f>K36-B22</f>
        <v>0</v>
      </c>
      <c r="L37" s="107">
        <f>L36-B23</f>
        <v>0</v>
      </c>
      <c r="M37" s="107">
        <f>B27-M36</f>
        <v>0</v>
      </c>
      <c r="N37" s="107">
        <f>N36-B25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40C99-03FA-4D2D-8160-32E80D16D416}">
  <dimension ref="A1:I111"/>
  <sheetViews>
    <sheetView showGridLines="0" topLeftCell="A74" zoomScaleNormal="85" workbookViewId="0">
      <selection activeCell="H66" sqref="H66"/>
    </sheetView>
  </sheetViews>
  <sheetFormatPr defaultColWidth="9.1328125" defaultRowHeight="11.65" x14ac:dyDescent="0.35"/>
  <cols>
    <col min="1" max="1" width="24.46484375" style="61" customWidth="1"/>
    <col min="2" max="2" width="24.46484375" style="114" bestFit="1" customWidth="1"/>
    <col min="3" max="3" width="13.796875" style="68" customWidth="1"/>
    <col min="4" max="4" width="25.53125" style="61" customWidth="1"/>
    <col min="5" max="5" width="23.19921875" style="61" customWidth="1"/>
    <col min="6" max="6" width="18.19921875" style="61" customWidth="1"/>
    <col min="7" max="7" width="9.1328125" style="61"/>
    <col min="8" max="8" width="14.1328125" style="61" customWidth="1"/>
    <col min="9" max="16384" width="9.1328125" style="61"/>
  </cols>
  <sheetData>
    <row r="1" spans="1:9" x14ac:dyDescent="0.35">
      <c r="D1" s="61" t="s">
        <v>29</v>
      </c>
      <c r="E1" s="169" t="s">
        <v>523</v>
      </c>
    </row>
    <row r="2" spans="1:9" x14ac:dyDescent="0.35">
      <c r="A2" s="61" t="s">
        <v>30</v>
      </c>
      <c r="C2" s="68" t="s">
        <v>420</v>
      </c>
    </row>
    <row r="3" spans="1:9" x14ac:dyDescent="0.35">
      <c r="A3" s="61" t="s">
        <v>0</v>
      </c>
      <c r="C3" s="2" t="s">
        <v>31</v>
      </c>
    </row>
    <row r="4" spans="1:9" x14ac:dyDescent="0.35">
      <c r="A4" s="61" t="s">
        <v>32</v>
      </c>
      <c r="C4" s="68" t="s">
        <v>33</v>
      </c>
    </row>
    <row r="5" spans="1:9" x14ac:dyDescent="0.35">
      <c r="A5" s="61" t="s">
        <v>527</v>
      </c>
      <c r="C5" s="217" t="str">
        <f>VLOOKUP($C$4,_xlnm.Database,MATCH($A5,Database!$A$3:$P$3,0),0)</f>
        <v>INR</v>
      </c>
    </row>
    <row r="6" spans="1:9" x14ac:dyDescent="0.35">
      <c r="A6" s="61" t="s">
        <v>36</v>
      </c>
      <c r="C6" s="68" t="s">
        <v>490</v>
      </c>
    </row>
    <row r="7" spans="1:9" x14ac:dyDescent="0.35">
      <c r="A7" s="61" t="s">
        <v>37</v>
      </c>
      <c r="C7" s="115" t="s">
        <v>38</v>
      </c>
    </row>
    <row r="8" spans="1:9" x14ac:dyDescent="0.35">
      <c r="A8" s="61" t="s">
        <v>39</v>
      </c>
      <c r="B8" s="114" t="s">
        <v>40</v>
      </c>
      <c r="C8" s="86">
        <v>4913500</v>
      </c>
    </row>
    <row r="10" spans="1:9" x14ac:dyDescent="0.35">
      <c r="A10" s="3" t="s">
        <v>41</v>
      </c>
      <c r="F10" s="4"/>
    </row>
    <row r="11" spans="1:9" x14ac:dyDescent="0.35">
      <c r="A11" s="61" t="s">
        <v>394</v>
      </c>
      <c r="C11" s="116"/>
      <c r="D11" s="6"/>
      <c r="G11" s="114"/>
      <c r="H11" s="117"/>
    </row>
    <row r="12" spans="1:9" x14ac:dyDescent="0.35">
      <c r="A12" s="61">
        <v>115</v>
      </c>
      <c r="B12" s="114" t="str">
        <f>input!$C$5&amp;"/kg"</f>
        <v>INR/kg</v>
      </c>
      <c r="C12" s="162">
        <v>42</v>
      </c>
      <c r="D12" s="6"/>
      <c r="G12" s="114"/>
      <c r="H12" s="117"/>
    </row>
    <row r="13" spans="1:9" x14ac:dyDescent="0.35">
      <c r="A13" s="61">
        <v>180</v>
      </c>
      <c r="B13" s="114" t="str">
        <f>input!$C$5&amp;"/kg"</f>
        <v>INR/kg</v>
      </c>
      <c r="C13" s="162">
        <v>48</v>
      </c>
      <c r="D13" s="6"/>
      <c r="G13" s="114"/>
      <c r="H13" s="117"/>
    </row>
    <row r="14" spans="1:9" hidden="1" x14ac:dyDescent="0.35">
      <c r="A14" s="61" t="s">
        <v>395</v>
      </c>
      <c r="B14" s="114" t="str">
        <f>input!$C$5&amp;"/kg"</f>
        <v>INR/kg</v>
      </c>
      <c r="C14" s="162">
        <v>150</v>
      </c>
      <c r="G14" s="114"/>
      <c r="H14" s="118"/>
    </row>
    <row r="15" spans="1:9" hidden="1" x14ac:dyDescent="0.35">
      <c r="A15" s="61" t="s">
        <v>397</v>
      </c>
      <c r="B15" s="114" t="str">
        <f>input!$C$5&amp;"/kg"</f>
        <v>INR/kg</v>
      </c>
      <c r="C15" s="162">
        <v>50</v>
      </c>
      <c r="G15" s="114"/>
      <c r="H15" s="119"/>
      <c r="I15" s="5"/>
    </row>
    <row r="16" spans="1:9" x14ac:dyDescent="0.35">
      <c r="C16" s="116"/>
      <c r="G16" s="114"/>
      <c r="H16" s="119"/>
      <c r="I16" s="5"/>
    </row>
    <row r="17" spans="1:9" x14ac:dyDescent="0.35">
      <c r="A17" s="3" t="s">
        <v>413</v>
      </c>
      <c r="C17" s="116"/>
      <c r="G17" s="114"/>
      <c r="H17" s="119"/>
      <c r="I17" s="87"/>
    </row>
    <row r="18" spans="1:9" x14ac:dyDescent="0.35">
      <c r="A18" s="3"/>
      <c r="C18" s="116"/>
      <c r="G18" s="114"/>
      <c r="H18" s="119"/>
      <c r="I18" s="87"/>
    </row>
    <row r="19" spans="1:9" x14ac:dyDescent="0.35">
      <c r="A19" s="4" t="s">
        <v>401</v>
      </c>
      <c r="C19" s="116"/>
      <c r="G19" s="114"/>
      <c r="H19" s="119"/>
      <c r="I19" s="87"/>
    </row>
    <row r="20" spans="1:9" x14ac:dyDescent="0.35">
      <c r="A20" s="61" t="s">
        <v>344</v>
      </c>
      <c r="B20" s="114" t="s">
        <v>342</v>
      </c>
      <c r="C20" s="162">
        <v>315</v>
      </c>
      <c r="G20" s="114"/>
      <c r="H20" s="117"/>
    </row>
    <row r="21" spans="1:9" x14ac:dyDescent="0.35">
      <c r="A21" s="61" t="s">
        <v>345</v>
      </c>
      <c r="B21" s="114" t="s">
        <v>342</v>
      </c>
      <c r="C21" s="162">
        <v>195</v>
      </c>
      <c r="G21" s="114"/>
      <c r="H21" s="120"/>
    </row>
    <row r="22" spans="1:9" x14ac:dyDescent="0.35">
      <c r="A22" s="61" t="s">
        <v>414</v>
      </c>
      <c r="B22" s="114" t="s">
        <v>342</v>
      </c>
      <c r="C22" s="162">
        <v>138</v>
      </c>
    </row>
    <row r="23" spans="1:9" x14ac:dyDescent="0.35">
      <c r="B23" s="6"/>
      <c r="C23" s="116"/>
      <c r="D23" s="6"/>
      <c r="F23" s="4"/>
    </row>
    <row r="24" spans="1:9" x14ac:dyDescent="0.35">
      <c r="A24" s="61" t="s">
        <v>402</v>
      </c>
      <c r="B24" s="114" t="s">
        <v>45</v>
      </c>
      <c r="C24" s="223">
        <v>3</v>
      </c>
      <c r="G24" s="114"/>
      <c r="H24" s="119"/>
    </row>
    <row r="25" spans="1:9" x14ac:dyDescent="0.35">
      <c r="A25" s="61" t="s">
        <v>403</v>
      </c>
      <c r="B25" s="114" t="s">
        <v>261</v>
      </c>
      <c r="C25" s="121" t="s">
        <v>299</v>
      </c>
      <c r="G25" s="114"/>
      <c r="H25" s="119"/>
    </row>
    <row r="26" spans="1:9" x14ac:dyDescent="0.35">
      <c r="A26" s="61" t="s">
        <v>404</v>
      </c>
      <c r="B26" s="114" t="s">
        <v>261</v>
      </c>
      <c r="C26" s="121" t="s">
        <v>300</v>
      </c>
      <c r="G26" s="114"/>
      <c r="H26" s="119"/>
    </row>
    <row r="27" spans="1:9" x14ac:dyDescent="0.35">
      <c r="C27" s="121"/>
      <c r="G27" s="114"/>
      <c r="H27" s="119"/>
    </row>
    <row r="28" spans="1:9" x14ac:dyDescent="0.35">
      <c r="A28" s="4" t="s">
        <v>405</v>
      </c>
      <c r="C28" s="121"/>
    </row>
    <row r="29" spans="1:9" x14ac:dyDescent="0.35">
      <c r="A29" s="61" t="s">
        <v>415</v>
      </c>
      <c r="B29" s="114" t="s">
        <v>396</v>
      </c>
      <c r="C29" s="162">
        <v>180</v>
      </c>
    </row>
    <row r="30" spans="1:9" x14ac:dyDescent="0.35">
      <c r="A30" s="61" t="s">
        <v>421</v>
      </c>
      <c r="B30" s="114" t="s">
        <v>427</v>
      </c>
      <c r="C30" s="162" t="s">
        <v>426</v>
      </c>
    </row>
    <row r="31" spans="1:9" x14ac:dyDescent="0.35">
      <c r="A31" s="61" t="s">
        <v>416</v>
      </c>
      <c r="B31" s="114" t="s">
        <v>396</v>
      </c>
      <c r="C31" s="162">
        <v>115</v>
      </c>
      <c r="G31" s="114"/>
      <c r="H31" s="122"/>
    </row>
    <row r="32" spans="1:9" x14ac:dyDescent="0.35">
      <c r="A32" s="61" t="s">
        <v>422</v>
      </c>
      <c r="B32" s="114" t="s">
        <v>427</v>
      </c>
      <c r="C32" s="162" t="s">
        <v>426</v>
      </c>
      <c r="G32" s="114"/>
      <c r="H32" s="122"/>
    </row>
    <row r="33" spans="1:8" x14ac:dyDescent="0.35">
      <c r="A33" s="61" t="s">
        <v>417</v>
      </c>
      <c r="B33" s="114" t="s">
        <v>396</v>
      </c>
      <c r="C33" s="162">
        <v>180</v>
      </c>
      <c r="G33" s="114"/>
      <c r="H33" s="122"/>
    </row>
    <row r="34" spans="1:8" x14ac:dyDescent="0.35">
      <c r="A34" s="61" t="s">
        <v>423</v>
      </c>
      <c r="B34" s="114" t="s">
        <v>427</v>
      </c>
      <c r="C34" s="162" t="s">
        <v>426</v>
      </c>
      <c r="G34" s="114"/>
      <c r="H34" s="122"/>
    </row>
    <row r="35" spans="1:8" x14ac:dyDescent="0.35">
      <c r="A35" s="61" t="s">
        <v>418</v>
      </c>
      <c r="B35" s="114" t="s">
        <v>396</v>
      </c>
      <c r="C35" s="162">
        <v>115</v>
      </c>
      <c r="D35" s="6"/>
    </row>
    <row r="36" spans="1:8" x14ac:dyDescent="0.35">
      <c r="A36" s="61" t="s">
        <v>424</v>
      </c>
      <c r="B36" s="114" t="s">
        <v>427</v>
      </c>
      <c r="C36" s="162" t="s">
        <v>426</v>
      </c>
      <c r="D36" s="6"/>
    </row>
    <row r="37" spans="1:8" x14ac:dyDescent="0.35">
      <c r="A37" s="61" t="s">
        <v>419</v>
      </c>
      <c r="B37" s="114" t="s">
        <v>396</v>
      </c>
      <c r="C37" s="162">
        <v>180</v>
      </c>
      <c r="F37" s="4"/>
    </row>
    <row r="38" spans="1:8" x14ac:dyDescent="0.35">
      <c r="A38" s="61" t="s">
        <v>425</v>
      </c>
      <c r="B38" s="114" t="s">
        <v>427</v>
      </c>
      <c r="C38" s="162" t="s">
        <v>426</v>
      </c>
      <c r="F38" s="4"/>
    </row>
    <row r="39" spans="1:8" x14ac:dyDescent="0.35">
      <c r="C39" s="123"/>
    </row>
    <row r="40" spans="1:8" x14ac:dyDescent="0.35">
      <c r="A40" s="4" t="s">
        <v>428</v>
      </c>
      <c r="C40" s="123"/>
    </row>
    <row r="41" spans="1:8" x14ac:dyDescent="0.35">
      <c r="A41" s="61" t="s">
        <v>406</v>
      </c>
      <c r="B41" s="114" t="s">
        <v>342</v>
      </c>
      <c r="C41" s="162">
        <v>30</v>
      </c>
    </row>
    <row r="42" spans="1:8" x14ac:dyDescent="0.35">
      <c r="A42" s="61" t="s">
        <v>407</v>
      </c>
      <c r="B42" s="114" t="s">
        <v>342</v>
      </c>
      <c r="C42" s="162">
        <v>15</v>
      </c>
    </row>
    <row r="43" spans="1:8" x14ac:dyDescent="0.35">
      <c r="C43" s="123"/>
    </row>
    <row r="44" spans="1:8" x14ac:dyDescent="0.35">
      <c r="A44" s="61" t="s">
        <v>320</v>
      </c>
      <c r="B44" s="61"/>
      <c r="C44" s="123" t="s">
        <v>324</v>
      </c>
      <c r="D44" s="6" t="s">
        <v>44</v>
      </c>
    </row>
    <row r="45" spans="1:8" x14ac:dyDescent="0.35">
      <c r="A45" s="61" t="s">
        <v>355</v>
      </c>
      <c r="C45" s="218">
        <v>3</v>
      </c>
      <c r="D45" s="6"/>
    </row>
    <row r="46" spans="1:8" x14ac:dyDescent="0.35">
      <c r="A46" s="61" t="s">
        <v>429</v>
      </c>
      <c r="B46" s="61"/>
      <c r="C46" s="68" t="s">
        <v>325</v>
      </c>
      <c r="D46" s="6" t="s">
        <v>44</v>
      </c>
    </row>
    <row r="48" spans="1:8" x14ac:dyDescent="0.35">
      <c r="A48" s="3" t="s">
        <v>260</v>
      </c>
    </row>
    <row r="49" spans="1:5" x14ac:dyDescent="0.35">
      <c r="A49" s="61" t="s">
        <v>328</v>
      </c>
      <c r="C49" s="68" t="s">
        <v>437</v>
      </c>
    </row>
    <row r="50" spans="1:5" x14ac:dyDescent="0.35">
      <c r="A50" s="61" t="s">
        <v>329</v>
      </c>
      <c r="C50" s="68" t="s">
        <v>334</v>
      </c>
    </row>
    <row r="51" spans="1:5" x14ac:dyDescent="0.35">
      <c r="A51" s="61" t="s">
        <v>330</v>
      </c>
      <c r="C51" s="68" t="s">
        <v>448</v>
      </c>
    </row>
    <row r="52" spans="1:5" x14ac:dyDescent="0.35">
      <c r="A52" s="61" t="s">
        <v>331</v>
      </c>
      <c r="C52" s="68" t="s">
        <v>336</v>
      </c>
    </row>
    <row r="53" spans="1:5" x14ac:dyDescent="0.35">
      <c r="A53" s="61" t="s">
        <v>332</v>
      </c>
      <c r="C53" s="68" t="s">
        <v>456</v>
      </c>
    </row>
    <row r="54" spans="1:5" x14ac:dyDescent="0.35">
      <c r="A54" s="61" t="s">
        <v>361</v>
      </c>
      <c r="B54" s="114" t="s">
        <v>45</v>
      </c>
      <c r="C54" s="68">
        <v>12</v>
      </c>
    </row>
    <row r="56" spans="1:5" x14ac:dyDescent="0.35">
      <c r="A56" s="3" t="s">
        <v>23</v>
      </c>
    </row>
    <row r="57" spans="1:5" x14ac:dyDescent="0.35">
      <c r="A57" s="61" t="s">
        <v>46</v>
      </c>
      <c r="B57" s="114" t="str">
        <f>$C$5&amp;"/kWH"</f>
        <v>INR/kWH</v>
      </c>
      <c r="C57" s="219">
        <f>IF(D57=0,VLOOKUP($C$4,_xlnm.Database,MATCH($A57,Database!$A$3:$P$3,0),0),D57)</f>
        <v>10.72</v>
      </c>
      <c r="D57" s="169"/>
      <c r="E57" s="6" t="s">
        <v>577</v>
      </c>
    </row>
    <row r="59" spans="1:5" x14ac:dyDescent="0.35">
      <c r="A59" s="3" t="s">
        <v>47</v>
      </c>
    </row>
    <row r="60" spans="1:5" x14ac:dyDescent="0.35">
      <c r="A60" s="61" t="s">
        <v>48</v>
      </c>
      <c r="B60" s="114" t="str">
        <f>$C$5&amp;"/year"</f>
        <v>INR/year</v>
      </c>
      <c r="C60" s="219">
        <f>IF(D60=0,VLOOKUP($C$4,_xlnm.Database,MATCH($A60,Database!$A$3:$P$3,0),0),D60)</f>
        <v>541800</v>
      </c>
      <c r="D60" s="169"/>
      <c r="E60" s="6" t="s">
        <v>577</v>
      </c>
    </row>
    <row r="61" spans="1:5" x14ac:dyDescent="0.35">
      <c r="A61" s="61" t="s">
        <v>49</v>
      </c>
      <c r="B61" s="114" t="str">
        <f>$C$5&amp;"/year"</f>
        <v>INR/year</v>
      </c>
      <c r="C61" s="219">
        <f>IF(D61=0,VLOOKUP($C$4,_xlnm.Database,MATCH($A61,Database!$A$3:$P$3,0),0),D61)</f>
        <v>1260000</v>
      </c>
      <c r="D61" s="169"/>
      <c r="E61" s="6" t="s">
        <v>577</v>
      </c>
    </row>
    <row r="62" spans="1:5" x14ac:dyDescent="0.35">
      <c r="A62" s="61" t="s">
        <v>50</v>
      </c>
      <c r="B62" s="114" t="str">
        <f>$C$5&amp;"/year"</f>
        <v>INR/year</v>
      </c>
      <c r="C62" s="219">
        <f>IF(D62=0,VLOOKUP($C$4,_xlnm.Database,MATCH($A62,Database!$A$3:$P$3,0),0),D62)</f>
        <v>1890000</v>
      </c>
      <c r="D62" s="169"/>
      <c r="E62" s="6" t="s">
        <v>577</v>
      </c>
    </row>
    <row r="64" spans="1:5" x14ac:dyDescent="0.35">
      <c r="A64" s="7" t="s">
        <v>51</v>
      </c>
      <c r="B64" s="8"/>
    </row>
    <row r="65" spans="1:5" x14ac:dyDescent="0.35">
      <c r="A65" s="9" t="s">
        <v>52</v>
      </c>
      <c r="B65" s="8" t="s">
        <v>53</v>
      </c>
      <c r="C65" s="10">
        <v>2.5000000000000001E-2</v>
      </c>
    </row>
    <row r="66" spans="1:5" x14ac:dyDescent="0.35">
      <c r="A66" s="9" t="s">
        <v>16</v>
      </c>
      <c r="B66" s="8" t="s">
        <v>53</v>
      </c>
      <c r="C66" s="10">
        <v>2.5000000000000001E-2</v>
      </c>
    </row>
    <row r="67" spans="1:5" x14ac:dyDescent="0.35">
      <c r="A67" s="9"/>
      <c r="B67" s="8"/>
    </row>
    <row r="68" spans="1:5" x14ac:dyDescent="0.35">
      <c r="A68" s="3" t="s">
        <v>18</v>
      </c>
    </row>
    <row r="69" spans="1:5" x14ac:dyDescent="0.35">
      <c r="A69" s="61" t="s">
        <v>578</v>
      </c>
      <c r="B69" s="114" t="s">
        <v>43</v>
      </c>
      <c r="C69" s="221">
        <f>IF(D69=0,VLOOKUP($C$4,_xlnm.Database,MATCH($A69,Database!$A$3:$P$3,0),0),D69)</f>
        <v>0.15</v>
      </c>
      <c r="D69" s="169"/>
      <c r="E69" s="6" t="s">
        <v>577</v>
      </c>
    </row>
    <row r="70" spans="1:5" x14ac:dyDescent="0.35">
      <c r="A70" s="61" t="s">
        <v>54</v>
      </c>
      <c r="B70" s="114" t="s">
        <v>43</v>
      </c>
      <c r="C70" s="221">
        <f>IF(D70=0,VLOOKUP($C$4,_xlnm.Database,MATCH($A70,Database!$A$3:$P$3,0),0),D70)</f>
        <v>0.1</v>
      </c>
      <c r="D70" s="169"/>
      <c r="E70" s="6" t="s">
        <v>577</v>
      </c>
    </row>
    <row r="71" spans="1:5" x14ac:dyDescent="0.35">
      <c r="A71" s="61" t="s">
        <v>55</v>
      </c>
      <c r="B71" s="114" t="s">
        <v>56</v>
      </c>
      <c r="C71" s="116">
        <v>5</v>
      </c>
    </row>
    <row r="73" spans="1:5" x14ac:dyDescent="0.35">
      <c r="A73" s="7" t="s">
        <v>57</v>
      </c>
    </row>
    <row r="74" spans="1:5" x14ac:dyDescent="0.35">
      <c r="A74" s="61" t="s">
        <v>58</v>
      </c>
      <c r="B74" s="114" t="s">
        <v>59</v>
      </c>
      <c r="C74" s="219">
        <f>IF(D74=0,VLOOKUP($C$4,_xlnm.Database,MATCH($A74,Database!$A$3:$P$3,0),0),D74)</f>
        <v>23519.018667714194</v>
      </c>
      <c r="D74" s="169"/>
      <c r="E74" s="6" t="s">
        <v>577</v>
      </c>
    </row>
    <row r="75" spans="1:5" x14ac:dyDescent="0.35">
      <c r="A75" s="61" t="s">
        <v>579</v>
      </c>
      <c r="B75" s="114" t="s">
        <v>59</v>
      </c>
      <c r="C75" s="219">
        <f>IF(D75=0,VLOOKUP($C$4,_xlnm.Database,MATCH($A75,Database!$A$3:$P$3,0),0),D75)</f>
        <v>7000</v>
      </c>
      <c r="D75" s="169"/>
      <c r="E75" s="6" t="s">
        <v>577</v>
      </c>
    </row>
    <row r="76" spans="1:5" x14ac:dyDescent="0.35">
      <c r="A76" s="61" t="s">
        <v>60</v>
      </c>
      <c r="B76" s="114" t="s">
        <v>59</v>
      </c>
      <c r="C76" s="219">
        <f>IF(D76=0,VLOOKUP($C$4,_xlnm.Database,MATCH($A76,Database!$A$3:$P$3,0),0),D76)</f>
        <v>2136.331306739994</v>
      </c>
      <c r="D76" s="169"/>
      <c r="E76" s="6" t="s">
        <v>577</v>
      </c>
    </row>
    <row r="77" spans="1:5" x14ac:dyDescent="0.35">
      <c r="A77" s="61" t="s">
        <v>61</v>
      </c>
      <c r="B77" s="61"/>
      <c r="C77" s="68" t="s">
        <v>62</v>
      </c>
      <c r="D77" s="6" t="s">
        <v>44</v>
      </c>
    </row>
    <row r="79" spans="1:5" x14ac:dyDescent="0.35">
      <c r="A79" s="3" t="s">
        <v>63</v>
      </c>
    </row>
    <row r="80" spans="1:5" x14ac:dyDescent="0.35">
      <c r="A80" s="61" t="s">
        <v>64</v>
      </c>
      <c r="B80" s="114" t="s">
        <v>43</v>
      </c>
      <c r="C80" s="221">
        <f>IF(D80=0,VLOOKUP($C$4,_xlnm.Database,MATCH($A80,Database!$A$3:$P$3,0),0),D80)</f>
        <v>0.125</v>
      </c>
      <c r="D80" s="243"/>
      <c r="E80" s="6" t="s">
        <v>577</v>
      </c>
    </row>
    <row r="81" spans="1:5" x14ac:dyDescent="0.35">
      <c r="A81" s="61" t="s">
        <v>65</v>
      </c>
      <c r="B81" s="114" t="s">
        <v>43</v>
      </c>
      <c r="C81" s="221">
        <f>IF(D81=0,VLOOKUP($C$4,_xlnm.Database,MATCH($A81,Database!$A$3:$P$3,0),0),D81)</f>
        <v>0.14000000000000001</v>
      </c>
      <c r="D81" s="243"/>
      <c r="E81" s="6" t="s">
        <v>577</v>
      </c>
    </row>
    <row r="82" spans="1:5" x14ac:dyDescent="0.35">
      <c r="A82" s="61" t="s">
        <v>6</v>
      </c>
      <c r="B82" s="114" t="s">
        <v>43</v>
      </c>
      <c r="C82" s="123">
        <v>0.2</v>
      </c>
    </row>
    <row r="83" spans="1:5" x14ac:dyDescent="0.35">
      <c r="A83" s="61" t="s">
        <v>66</v>
      </c>
      <c r="B83" s="61"/>
      <c r="C83" s="68" t="s">
        <v>67</v>
      </c>
      <c r="D83" s="6" t="s">
        <v>44</v>
      </c>
    </row>
    <row r="84" spans="1:5" x14ac:dyDescent="0.35">
      <c r="D84" s="6"/>
    </row>
    <row r="85" spans="1:5" x14ac:dyDescent="0.35">
      <c r="A85" s="11" t="s">
        <v>166</v>
      </c>
      <c r="D85" s="6"/>
    </row>
    <row r="86" spans="1:5" x14ac:dyDescent="0.35">
      <c r="A86" s="61" t="s">
        <v>525</v>
      </c>
      <c r="B86" s="114" t="s">
        <v>45</v>
      </c>
      <c r="C86" s="224">
        <v>20</v>
      </c>
      <c r="D86" s="6"/>
    </row>
    <row r="87" spans="1:5" x14ac:dyDescent="0.35">
      <c r="A87" s="61" t="s">
        <v>69</v>
      </c>
      <c r="B87" s="114" t="s">
        <v>45</v>
      </c>
      <c r="C87" s="224">
        <v>0</v>
      </c>
      <c r="D87" s="6"/>
    </row>
    <row r="88" spans="1:5" x14ac:dyDescent="0.35">
      <c r="A88" s="61" t="s">
        <v>70</v>
      </c>
      <c r="B88" s="114" t="s">
        <v>45</v>
      </c>
      <c r="C88" s="234">
        <v>8000</v>
      </c>
      <c r="D88" s="6"/>
    </row>
    <row r="89" spans="1:5" x14ac:dyDescent="0.35">
      <c r="B89" s="61"/>
      <c r="C89" s="61"/>
      <c r="D89" s="6"/>
    </row>
    <row r="90" spans="1:5" x14ac:dyDescent="0.35">
      <c r="A90" s="11" t="s">
        <v>508</v>
      </c>
      <c r="B90" s="61"/>
      <c r="C90" s="61"/>
      <c r="D90" s="6"/>
    </row>
    <row r="91" spans="1:5" x14ac:dyDescent="0.35">
      <c r="A91" s="61" t="s">
        <v>72</v>
      </c>
      <c r="B91" s="61"/>
      <c r="C91" s="68" t="s">
        <v>73</v>
      </c>
      <c r="D91" s="6" t="s">
        <v>44</v>
      </c>
    </row>
    <row r="92" spans="1:5" x14ac:dyDescent="0.35">
      <c r="A92" s="61" t="s">
        <v>74</v>
      </c>
      <c r="B92" s="61"/>
      <c r="C92" s="68" t="s">
        <v>75</v>
      </c>
      <c r="D92" s="6" t="s">
        <v>44</v>
      </c>
    </row>
    <row r="93" spans="1:5" x14ac:dyDescent="0.35">
      <c r="A93" s="61" t="s">
        <v>76</v>
      </c>
      <c r="C93" s="68">
        <v>8000</v>
      </c>
      <c r="D93" s="6"/>
    </row>
    <row r="94" spans="1:5" x14ac:dyDescent="0.35">
      <c r="D94" s="6"/>
    </row>
    <row r="95" spans="1:5" x14ac:dyDescent="0.35">
      <c r="A95" s="61" t="s">
        <v>77</v>
      </c>
      <c r="C95" s="125">
        <v>330</v>
      </c>
      <c r="D95" s="6"/>
    </row>
    <row r="96" spans="1:5" x14ac:dyDescent="0.35">
      <c r="A96" s="61" t="s">
        <v>78</v>
      </c>
      <c r="C96" s="125">
        <v>3</v>
      </c>
      <c r="D96" s="6"/>
    </row>
    <row r="97" spans="1:5" x14ac:dyDescent="0.35">
      <c r="A97" s="61" t="s">
        <v>79</v>
      </c>
      <c r="C97" s="125">
        <v>24</v>
      </c>
      <c r="D97" s="6"/>
    </row>
    <row r="98" spans="1:5" x14ac:dyDescent="0.35">
      <c r="A98" s="61" t="s">
        <v>80</v>
      </c>
      <c r="C98" s="126">
        <v>0.8</v>
      </c>
      <c r="D98" s="6"/>
    </row>
    <row r="99" spans="1:5" x14ac:dyDescent="0.35">
      <c r="A99" s="61" t="s">
        <v>81</v>
      </c>
      <c r="C99" s="127">
        <f>C95*C97</f>
        <v>7920</v>
      </c>
      <c r="D99" s="6"/>
    </row>
    <row r="100" spans="1:5" x14ac:dyDescent="0.35">
      <c r="D100" s="6"/>
    </row>
    <row r="101" spans="1:5" x14ac:dyDescent="0.35">
      <c r="A101" s="3" t="s">
        <v>82</v>
      </c>
    </row>
    <row r="102" spans="1:5" x14ac:dyDescent="0.35">
      <c r="A102" s="222" t="s">
        <v>576</v>
      </c>
      <c r="C102" s="220">
        <f>IF(D102=0,VLOOKUP($C$4,_xlnm.Database,MATCH($A102,Database!$A$3:$P$3,0),0),D102)</f>
        <v>104.27</v>
      </c>
      <c r="D102" s="169"/>
      <c r="E102" s="6" t="s">
        <v>577</v>
      </c>
    </row>
    <row r="103" spans="1:5" x14ac:dyDescent="0.35">
      <c r="A103" s="222" t="s">
        <v>575</v>
      </c>
      <c r="C103" s="220">
        <f>IF(D103=0,VLOOKUP($C$4,_xlnm.Database,MATCH($A103,Database!$A$3:$P$3,0),0),D103)</f>
        <v>87</v>
      </c>
      <c r="D103" s="169"/>
      <c r="E103" s="6" t="s">
        <v>577</v>
      </c>
    </row>
    <row r="105" spans="1:5" x14ac:dyDescent="0.35">
      <c r="A105" s="3" t="s">
        <v>83</v>
      </c>
    </row>
    <row r="106" spans="1:5" x14ac:dyDescent="0.35">
      <c r="A106" s="61" t="s">
        <v>84</v>
      </c>
      <c r="B106" s="114" t="s">
        <v>85</v>
      </c>
      <c r="C106" s="68">
        <v>45</v>
      </c>
    </row>
    <row r="107" spans="1:5" x14ac:dyDescent="0.35">
      <c r="A107" s="61" t="s">
        <v>86</v>
      </c>
      <c r="B107" s="114" t="s">
        <v>85</v>
      </c>
      <c r="C107" s="68">
        <v>7</v>
      </c>
    </row>
    <row r="109" spans="1:5" x14ac:dyDescent="0.35">
      <c r="A109" s="3" t="s">
        <v>87</v>
      </c>
    </row>
    <row r="110" spans="1:5" x14ac:dyDescent="0.35">
      <c r="A110" s="61" t="s">
        <v>88</v>
      </c>
      <c r="B110" s="106" t="s">
        <v>89</v>
      </c>
      <c r="C110" s="68">
        <v>45</v>
      </c>
    </row>
    <row r="111" spans="1:5" x14ac:dyDescent="0.35">
      <c r="A111" s="61" t="s">
        <v>90</v>
      </c>
      <c r="B111" s="106" t="s">
        <v>89</v>
      </c>
      <c r="C111" s="68">
        <v>60</v>
      </c>
    </row>
  </sheetData>
  <dataValidations count="2">
    <dataValidation type="list" allowBlank="1" showInputMessage="1" showErrorMessage="1" sqref="H15:H16" xr:uid="{A1D8F757-611A-4EF0-A918-99BC92EF669F}">
      <formula1>#REF!</formula1>
    </dataValidation>
    <dataValidation type="list" allowBlank="1" showInputMessage="1" showErrorMessage="1" sqref="C25:C26" xr:uid="{0BBD361B-6CA4-4D87-B761-B92F42B1A0A2}">
      <formula1>"A,B,C,E,F"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87B1A081-5DD2-4A62-83EF-B47B7391FB5F}">
          <x14:formula1>
            <xm:f>backup!$B$181:$B$182</xm:f>
          </x14:formula1>
          <xm:sqref>C77</xm:sqref>
        </x14:dataValidation>
        <x14:dataValidation type="list" allowBlank="1" showInputMessage="1" showErrorMessage="1" xr:uid="{06A20043-C26E-4D91-82F1-74352B069155}">
          <x14:formula1>
            <xm:f>backup!$B$162:$B$163</xm:f>
          </x14:formula1>
          <xm:sqref>C83</xm:sqref>
        </x14:dataValidation>
        <x14:dataValidation type="list" allowBlank="1" showInputMessage="1" showErrorMessage="1" xr:uid="{F1A5CB21-85D4-43C4-9D8A-102D5C37A6FF}">
          <x14:formula1>
            <xm:f>backup!$B$167:$B$172</xm:f>
          </x14:formula1>
          <xm:sqref>C92</xm:sqref>
        </x14:dataValidation>
        <x14:dataValidation type="list" allowBlank="1" showInputMessage="1" showErrorMessage="1" xr:uid="{464B5B5E-8FAC-4BD8-BF6F-3B17797834BE}">
          <x14:formula1>
            <xm:f>backup!$B$175:$B$176</xm:f>
          </x14:formula1>
          <xm:sqref>C91</xm:sqref>
        </x14:dataValidation>
        <x14:dataValidation type="list" allowBlank="1" showInputMessage="1" showErrorMessage="1" xr:uid="{FD901D2B-D595-4118-81CD-379BC1593113}">
          <x14:formula1>
            <xm:f>backup!$B$145:$B$148</xm:f>
          </x14:formula1>
          <xm:sqref>C44</xm:sqref>
        </x14:dataValidation>
        <x14:dataValidation type="list" allowBlank="1" showInputMessage="1" showErrorMessage="1" xr:uid="{BB625A43-AB48-4D62-99CC-CA966B89225B}">
          <x14:formula1>
            <xm:f>backup!$D$145:$D$146</xm:f>
          </x14:formula1>
          <xm:sqref>C46</xm:sqref>
        </x14:dataValidation>
        <x14:dataValidation type="list" allowBlank="1" showInputMessage="1" showErrorMessage="1" xr:uid="{307C2AE8-C95E-4442-989D-4682857E7A2E}">
          <x14:formula1>
            <xm:f>backup!$D$34:$D$42</xm:f>
          </x14:formula1>
          <xm:sqref>C49</xm:sqref>
        </x14:dataValidation>
        <x14:dataValidation type="list" allowBlank="1" showInputMessage="1" showErrorMessage="1" xr:uid="{39000FDC-250C-41DA-82E9-74983275E1AF}">
          <x14:formula1>
            <xm:f>backup!$D$52:$D$65</xm:f>
          </x14:formula1>
          <xm:sqref>C51</xm:sqref>
        </x14:dataValidation>
        <x14:dataValidation type="list" allowBlank="1" showInputMessage="1" showErrorMessage="1" xr:uid="{52594273-EC1A-4EB2-A6A5-7D5E19AF0537}">
          <x14:formula1>
            <xm:f>backup!$D$71:$D$77</xm:f>
          </x14:formula1>
          <xm:sqref>C53</xm:sqref>
        </x14:dataValidation>
        <x14:dataValidation type="list" allowBlank="1" showInputMessage="1" showErrorMessage="1" xr:uid="{D02B412C-B8CE-46F4-B905-BCD9FEBF9294}">
          <x14:formula1>
            <xm:f>backup!$D$44:$D$51</xm:f>
          </x14:formula1>
          <xm:sqref>C50</xm:sqref>
        </x14:dataValidation>
        <x14:dataValidation type="list" allowBlank="1" showInputMessage="1" showErrorMessage="1" xr:uid="{3FA90A17-8225-483D-B873-1F0B2C95246E}">
          <x14:formula1>
            <xm:f>backup!$D$66:$D$70</xm:f>
          </x14:formula1>
          <xm:sqref>C52</xm:sqref>
        </x14:dataValidation>
        <x14:dataValidation type="list" allowBlank="1" showInputMessage="1" showErrorMessage="1" xr:uid="{3AF5DECE-90CB-4873-8ECD-E3FADF6D4BC0}">
          <x14:formula1>
            <xm:f>Database!$A$4:$A$38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7F6C-AF92-445E-9BF2-817564B5F523}">
  <dimension ref="A3:D44"/>
  <sheetViews>
    <sheetView topLeftCell="A23" workbookViewId="0">
      <selection activeCell="D42" sqref="D42"/>
    </sheetView>
  </sheetViews>
  <sheetFormatPr defaultRowHeight="14.25" x14ac:dyDescent="0.45"/>
  <cols>
    <col min="1" max="1" width="2.796875" style="35" customWidth="1"/>
    <col min="2" max="2" width="19.796875" bestFit="1" customWidth="1"/>
    <col min="3" max="3" width="9.796875" bestFit="1" customWidth="1"/>
    <col min="4" max="4" width="12.19921875" customWidth="1"/>
  </cols>
  <sheetData>
    <row r="3" spans="2:4" x14ac:dyDescent="0.45">
      <c r="B3" s="12" t="s">
        <v>0</v>
      </c>
      <c r="C3" s="13" t="s">
        <v>91</v>
      </c>
      <c r="D3" s="14" t="str">
        <f>_xlfn.XLOOKUP(B3,input!A:A,input!C:C)</f>
        <v>xxxxx</v>
      </c>
    </row>
    <row r="4" spans="2:4" x14ac:dyDescent="0.45">
      <c r="B4" s="12" t="s">
        <v>30</v>
      </c>
      <c r="C4" s="13"/>
      <c r="D4" s="15" t="str">
        <f>_xlfn.XLOOKUP(B4,input!A:A,input!C:C)</f>
        <v>Lifeboy 125g</v>
      </c>
    </row>
    <row r="5" spans="2:4" x14ac:dyDescent="0.45">
      <c r="B5" s="16" t="s">
        <v>39</v>
      </c>
      <c r="C5" s="17" t="s">
        <v>40</v>
      </c>
      <c r="D5" s="19">
        <f>_xlfn.XLOOKUP(B5,input!A:A,input!C:C)</f>
        <v>4913500</v>
      </c>
    </row>
    <row r="6" spans="2:4" x14ac:dyDescent="0.45">
      <c r="B6" s="20"/>
      <c r="C6" s="17"/>
      <c r="D6" s="42"/>
    </row>
    <row r="7" spans="2:4" x14ac:dyDescent="0.45">
      <c r="B7" s="20" t="s">
        <v>401</v>
      </c>
      <c r="C7" s="17"/>
      <c r="D7" s="16"/>
    </row>
    <row r="8" spans="2:4" x14ac:dyDescent="0.45">
      <c r="B8" s="16" t="s">
        <v>344</v>
      </c>
      <c r="C8" s="189" t="s">
        <v>342</v>
      </c>
      <c r="D8" s="19">
        <f>_xlfn.XLOOKUP(B8,input!A:A,input!C:C)</f>
        <v>315</v>
      </c>
    </row>
    <row r="9" spans="2:4" x14ac:dyDescent="0.45">
      <c r="B9" s="16" t="s">
        <v>345</v>
      </c>
      <c r="C9" s="189" t="s">
        <v>342</v>
      </c>
      <c r="D9" s="19">
        <f>_xlfn.XLOOKUP(B9,input!A:A,input!C:C)</f>
        <v>195</v>
      </c>
    </row>
    <row r="10" spans="2:4" x14ac:dyDescent="0.45">
      <c r="B10" s="16" t="s">
        <v>414</v>
      </c>
      <c r="C10" s="189" t="s">
        <v>342</v>
      </c>
      <c r="D10" s="19">
        <f>_xlfn.XLOOKUP(B10,input!A:A,input!C:C)</f>
        <v>138</v>
      </c>
    </row>
    <row r="11" spans="2:4" x14ac:dyDescent="0.45">
      <c r="B11" s="16"/>
      <c r="C11" s="17"/>
      <c r="D11" s="16"/>
    </row>
    <row r="12" spans="2:4" x14ac:dyDescent="0.45">
      <c r="B12" s="16" t="s">
        <v>402</v>
      </c>
      <c r="C12" s="17"/>
      <c r="D12" s="19">
        <f>_xlfn.XLOOKUP(B12,input!A:A,input!C:C)</f>
        <v>3</v>
      </c>
    </row>
    <row r="13" spans="2:4" x14ac:dyDescent="0.45">
      <c r="B13" s="16" t="s">
        <v>403</v>
      </c>
      <c r="C13" s="17"/>
      <c r="D13" s="190" t="str">
        <f>_xlfn.XLOOKUP(B13,input!A:A,input!C:C)</f>
        <v>B</v>
      </c>
    </row>
    <row r="14" spans="2:4" x14ac:dyDescent="0.45">
      <c r="B14" s="16" t="s">
        <v>404</v>
      </c>
      <c r="C14" s="17"/>
      <c r="D14" s="190" t="str">
        <f>_xlfn.XLOOKUP(B14,input!A:A,input!C:C)</f>
        <v>C</v>
      </c>
    </row>
    <row r="15" spans="2:4" x14ac:dyDescent="0.45">
      <c r="B15" s="16"/>
      <c r="C15" s="17"/>
      <c r="D15" s="40"/>
    </row>
    <row r="16" spans="2:4" x14ac:dyDescent="0.45">
      <c r="B16" s="20" t="s">
        <v>405</v>
      </c>
      <c r="C16" s="17"/>
      <c r="D16" s="40"/>
    </row>
    <row r="17" spans="2:4" x14ac:dyDescent="0.45">
      <c r="B17" s="188" t="s">
        <v>415</v>
      </c>
      <c r="C17" s="189" t="s">
        <v>396</v>
      </c>
      <c r="D17" s="190">
        <f>_xlfn.XLOOKUP(B17,input!A:A,input!C:C)</f>
        <v>180</v>
      </c>
    </row>
    <row r="18" spans="2:4" x14ac:dyDescent="0.45">
      <c r="B18" s="188" t="s">
        <v>416</v>
      </c>
      <c r="C18" s="189" t="s">
        <v>396</v>
      </c>
      <c r="D18" s="190">
        <f>_xlfn.XLOOKUP(B18,input!A:A,input!C:C)</f>
        <v>115</v>
      </c>
    </row>
    <row r="19" spans="2:4" x14ac:dyDescent="0.45">
      <c r="B19" s="188" t="s">
        <v>417</v>
      </c>
      <c r="C19" s="189" t="s">
        <v>396</v>
      </c>
      <c r="D19" s="190">
        <f>_xlfn.XLOOKUP(B19,input!A:A,input!C:C)</f>
        <v>180</v>
      </c>
    </row>
    <row r="20" spans="2:4" x14ac:dyDescent="0.45">
      <c r="B20" s="188" t="s">
        <v>418</v>
      </c>
      <c r="C20" s="189" t="s">
        <v>396</v>
      </c>
      <c r="D20" s="190">
        <f>_xlfn.XLOOKUP(B20,input!A:A,input!C:C)</f>
        <v>115</v>
      </c>
    </row>
    <row r="21" spans="2:4" x14ac:dyDescent="0.45">
      <c r="B21" s="188" t="s">
        <v>419</v>
      </c>
      <c r="C21" s="189" t="s">
        <v>396</v>
      </c>
      <c r="D21" s="190">
        <f>_xlfn.XLOOKUP(B21,input!A:A,input!C:C)</f>
        <v>180</v>
      </c>
    </row>
    <row r="22" spans="2:4" x14ac:dyDescent="0.45">
      <c r="B22" s="20"/>
      <c r="C22" s="1"/>
      <c r="D22" s="40"/>
    </row>
    <row r="23" spans="2:4" x14ac:dyDescent="0.45">
      <c r="B23" s="16" t="s">
        <v>396</v>
      </c>
      <c r="C23" s="189" t="s">
        <v>396</v>
      </c>
      <c r="D23" s="18">
        <f>IF($D$12=5,$D$17+$D$18*VLOOKUP($D$13,backup!$B$131:$E$136,COLUMNS(backup!$B$131:$C$131),0)+$D$19+$D$20*VLOOKUP(D14,backup!$B$131:$E$136,COLUMNS(backup!$B$131:$C$131),0)+$D$21,IF($D$12=3,$D$17+$D$18*VLOOKUP(D13,backup!$B$131:$E$136,COLUMNS(backup!$B$131:$C$131),0)+$D$19))</f>
        <v>515.25</v>
      </c>
    </row>
    <row r="24" spans="2:4" x14ac:dyDescent="0.45">
      <c r="B24" s="16"/>
      <c r="C24" s="41"/>
      <c r="D24" s="42"/>
    </row>
    <row r="25" spans="2:4" x14ac:dyDescent="0.45">
      <c r="B25" s="16" t="s">
        <v>406</v>
      </c>
      <c r="C25" s="189" t="s">
        <v>342</v>
      </c>
      <c r="D25" s="19">
        <f>_xlfn.XLOOKUP(B25,input!A:A,input!C:C)</f>
        <v>30</v>
      </c>
    </row>
    <row r="26" spans="2:4" x14ac:dyDescent="0.45">
      <c r="B26" s="16" t="s">
        <v>407</v>
      </c>
      <c r="C26" s="189" t="s">
        <v>342</v>
      </c>
      <c r="D26" s="19">
        <f>_xlfn.XLOOKUP(B26,input!A:A,input!C:C)</f>
        <v>15</v>
      </c>
    </row>
    <row r="27" spans="2:4" x14ac:dyDescent="0.45">
      <c r="B27" s="16" t="s">
        <v>408</v>
      </c>
      <c r="C27" s="189" t="s">
        <v>342</v>
      </c>
      <c r="D27" s="191">
        <f>2*($D$8+$D$9)+D25</f>
        <v>1050</v>
      </c>
    </row>
    <row r="28" spans="2:4" x14ac:dyDescent="0.45">
      <c r="B28" s="188" t="s">
        <v>409</v>
      </c>
      <c r="C28" s="189" t="s">
        <v>342</v>
      </c>
      <c r="D28" s="191">
        <f>$D$9+$D$10+$D$26</f>
        <v>348</v>
      </c>
    </row>
    <row r="29" spans="2:4" x14ac:dyDescent="0.45">
      <c r="B29" s="16"/>
      <c r="C29" s="17"/>
      <c r="D29" s="42"/>
    </row>
    <row r="30" spans="2:4" x14ac:dyDescent="0.45">
      <c r="B30" s="16" t="s">
        <v>410</v>
      </c>
      <c r="C30" s="193" t="s">
        <v>123</v>
      </c>
      <c r="D30" s="18">
        <f>D27*D28/10^6</f>
        <v>0.3654</v>
      </c>
    </row>
    <row r="31" spans="2:4" x14ac:dyDescent="0.45">
      <c r="B31" s="16"/>
      <c r="C31" s="17"/>
      <c r="D31" s="43"/>
    </row>
    <row r="32" spans="2:4" x14ac:dyDescent="0.45">
      <c r="B32" s="16" t="s">
        <v>411</v>
      </c>
      <c r="C32" s="21"/>
      <c r="D32" s="16"/>
    </row>
    <row r="33" spans="2:4" x14ac:dyDescent="0.45">
      <c r="B33" s="188" t="s">
        <v>415</v>
      </c>
      <c r="C33" s="189" t="s">
        <v>42</v>
      </c>
      <c r="D33" s="19">
        <f>D17*$D$30</f>
        <v>65.772000000000006</v>
      </c>
    </row>
    <row r="34" spans="2:4" x14ac:dyDescent="0.45">
      <c r="B34" s="188" t="s">
        <v>416</v>
      </c>
      <c r="C34" s="189" t="s">
        <v>42</v>
      </c>
      <c r="D34" s="19">
        <f>D18*$D$30*VLOOKUP($D$13,backup!$B$131:$C$136,COLUMNS(backup!$B$131:$C$131),0)</f>
        <v>56.728350000000006</v>
      </c>
    </row>
    <row r="35" spans="2:4" x14ac:dyDescent="0.45">
      <c r="B35" s="188" t="s">
        <v>417</v>
      </c>
      <c r="C35" s="189" t="s">
        <v>42</v>
      </c>
      <c r="D35" s="19">
        <f t="shared" ref="D35" si="0">D19*$D$30</f>
        <v>65.772000000000006</v>
      </c>
    </row>
    <row r="36" spans="2:4" x14ac:dyDescent="0.45">
      <c r="B36" s="188" t="s">
        <v>418</v>
      </c>
      <c r="C36" s="189" t="s">
        <v>42</v>
      </c>
      <c r="D36" s="19">
        <f>IF(D12=3,0,D20*$D$30*VLOOKUP($D$14,backup!$B$131:$C$136,COLUMNS(backup!$B$131:$C$131),0))</f>
        <v>0</v>
      </c>
    </row>
    <row r="37" spans="2:4" x14ac:dyDescent="0.45">
      <c r="B37" s="188" t="s">
        <v>419</v>
      </c>
      <c r="C37" s="189" t="s">
        <v>42</v>
      </c>
      <c r="D37" s="19">
        <f>IF(D12=3,0,D21*$D$30)</f>
        <v>0</v>
      </c>
    </row>
    <row r="38" spans="2:4" x14ac:dyDescent="0.45">
      <c r="B38" s="188" t="s">
        <v>412</v>
      </c>
      <c r="C38" s="21" t="s">
        <v>42</v>
      </c>
      <c r="D38" s="192">
        <f>SUM(D33:D37)</f>
        <v>188.27235000000002</v>
      </c>
    </row>
    <row r="39" spans="2:4" x14ac:dyDescent="0.45">
      <c r="B39" s="188"/>
      <c r="C39" s="21"/>
      <c r="D39" s="40"/>
    </row>
    <row r="40" spans="2:4" x14ac:dyDescent="0.45">
      <c r="B40" s="188" t="s">
        <v>399</v>
      </c>
      <c r="C40" s="188" t="str">
        <f>input!$C$5&amp;" / 1000 pcs"</f>
        <v>INR / 1000 pcs</v>
      </c>
      <c r="D40" s="192">
        <f>_xlfn.XLOOKUP(D17,input!$A:$A,input!$C:$C,0)*material!D33+_xlfn.XLOOKUP(material!D18,input!$A:$A,input!$C:$C,0)*material!D34+_xlfn.XLOOKUP(material!D19,input!$A:$A,input!$C:$C,0)*material!D35+_xlfn.XLOOKUP(D20,input!$A:$A,input!$C:$C,0)*material!D36+_xlfn.XLOOKUP(material!D21,input!$A:$A,input!$C:$C,0)*material!D37</f>
        <v>8696.7027000000016</v>
      </c>
    </row>
    <row r="41" spans="2:4" x14ac:dyDescent="0.45">
      <c r="B41" s="188"/>
      <c r="C41" s="21"/>
      <c r="D41" s="40"/>
    </row>
    <row r="42" spans="2:4" x14ac:dyDescent="0.45">
      <c r="B42" s="16" t="s">
        <v>377</v>
      </c>
      <c r="C42" s="21" t="s">
        <v>43</v>
      </c>
      <c r="D42" s="44">
        <f>_xlfn.XLOOKUP($B$42,conversion!$B:$B,conversion!$D:$D,0)</f>
        <v>8.7961818830853133E-2</v>
      </c>
    </row>
    <row r="43" spans="2:4" x14ac:dyDescent="0.45">
      <c r="B43" s="16"/>
      <c r="C43" s="17"/>
      <c r="D43" s="16"/>
    </row>
    <row r="44" spans="2:4" x14ac:dyDescent="0.45">
      <c r="B44" s="21" t="s">
        <v>4</v>
      </c>
      <c r="C44" s="21" t="str">
        <f>input!$C$5&amp;" / 1000 pcs"</f>
        <v>INR / 1000 pcs</v>
      </c>
      <c r="D44" s="22">
        <f>D40*(1+D42)</f>
        <v>9461.6804873231922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BB94-CED9-411B-A521-5354E084B25D}">
  <dimension ref="A1:L463"/>
  <sheetViews>
    <sheetView tabSelected="1" topLeftCell="A214" zoomScale="102" workbookViewId="0">
      <selection activeCell="F110" sqref="F110"/>
    </sheetView>
  </sheetViews>
  <sheetFormatPr defaultColWidth="9" defaultRowHeight="11.65" x14ac:dyDescent="0.35"/>
  <cols>
    <col min="1" max="1" width="3" style="39" customWidth="1"/>
    <col min="2" max="2" width="29.1328125" style="61" bestFit="1" customWidth="1"/>
    <col min="3" max="3" width="13.796875" style="61" customWidth="1"/>
    <col min="4" max="4" width="17.46484375" style="116" customWidth="1"/>
    <col min="5" max="10" width="15.53125" style="61" customWidth="1"/>
    <col min="11" max="11" width="9.796875" style="61" bestFit="1" customWidth="1"/>
    <col min="12" max="16384" width="9" style="61"/>
  </cols>
  <sheetData>
    <row r="1" spans="2:4" hidden="1" x14ac:dyDescent="0.35"/>
    <row r="2" spans="2:4" hidden="1" x14ac:dyDescent="0.35"/>
    <row r="3" spans="2:4" hidden="1" x14ac:dyDescent="0.35"/>
    <row r="4" spans="2:4" hidden="1" x14ac:dyDescent="0.35"/>
    <row r="5" spans="2:4" hidden="1" x14ac:dyDescent="0.35"/>
    <row r="6" spans="2:4" hidden="1" x14ac:dyDescent="0.35"/>
    <row r="7" spans="2:4" hidden="1" x14ac:dyDescent="0.35"/>
    <row r="10" spans="2:4" x14ac:dyDescent="0.35">
      <c r="B10" s="12" t="s">
        <v>0</v>
      </c>
      <c r="C10" s="13" t="s">
        <v>91</v>
      </c>
      <c r="D10" s="14" t="str">
        <f>_xlfn.XLOOKUP(B10,input!A:A,input!C:C)</f>
        <v>xxxxx</v>
      </c>
    </row>
    <row r="11" spans="2:4" x14ac:dyDescent="0.35">
      <c r="B11" s="12" t="s">
        <v>30</v>
      </c>
      <c r="C11" s="13"/>
      <c r="D11" s="15" t="str">
        <f>_xlfn.XLOOKUP(B11,input!A:A,input!C:C)</f>
        <v>Lifeboy 125g</v>
      </c>
    </row>
    <row r="12" spans="2:4" x14ac:dyDescent="0.35">
      <c r="B12" s="23" t="s">
        <v>92</v>
      </c>
      <c r="C12" s="66"/>
      <c r="D12" s="128"/>
    </row>
    <row r="13" spans="2:4" x14ac:dyDescent="0.35">
      <c r="B13" s="66" t="str">
        <f>input!A8</f>
        <v xml:space="preserve">Annual Volume </v>
      </c>
      <c r="C13" s="71" t="str">
        <f>input!B8</f>
        <v>pcs</v>
      </c>
      <c r="D13" s="146">
        <f>_xlfn.XLOOKUP($B13,input!$A:$A,input!C:C)</f>
        <v>4913500</v>
      </c>
    </row>
    <row r="14" spans="2:4" x14ac:dyDescent="0.35">
      <c r="B14" s="66" t="s">
        <v>502</v>
      </c>
      <c r="C14" s="71" t="s">
        <v>40</v>
      </c>
      <c r="D14" s="146">
        <f>D13/75%</f>
        <v>6551333.333333333</v>
      </c>
    </row>
    <row r="15" spans="2:4" x14ac:dyDescent="0.35">
      <c r="B15" s="66"/>
      <c r="C15" s="66"/>
      <c r="D15" s="128"/>
    </row>
    <row r="16" spans="2:4" x14ac:dyDescent="0.35">
      <c r="B16" s="66" t="s">
        <v>328</v>
      </c>
      <c r="C16" s="66"/>
      <c r="D16" s="146" t="str">
        <f>_xlfn.XLOOKUP($B16,input!$A:$A,input!$C:$C)</f>
        <v>BHS Eco Line</v>
      </c>
    </row>
    <row r="17" spans="2:9" x14ac:dyDescent="0.35">
      <c r="B17" s="66" t="s">
        <v>341</v>
      </c>
      <c r="C17" s="66" t="s">
        <v>342</v>
      </c>
      <c r="D17" s="146">
        <f>_xlfn.XLOOKUP($D$16,backup!$D:$D,backup!$H:$H,0)*1000</f>
        <v>1800</v>
      </c>
    </row>
    <row r="18" spans="2:9" x14ac:dyDescent="0.35">
      <c r="B18" s="66" t="s">
        <v>430</v>
      </c>
      <c r="C18" s="71" t="s">
        <v>431</v>
      </c>
      <c r="D18" s="146">
        <f>_xlfn.XLOOKUP($D$16,backup!$D:$D,backup!$G:$G,0)</f>
        <v>150</v>
      </c>
      <c r="E18" s="130"/>
      <c r="G18" s="225"/>
    </row>
    <row r="19" spans="2:9" x14ac:dyDescent="0.35">
      <c r="B19" s="66"/>
      <c r="C19" s="71"/>
      <c r="D19" s="131"/>
      <c r="E19" s="130"/>
    </row>
    <row r="20" spans="2:9" x14ac:dyDescent="0.35">
      <c r="B20" s="20" t="s">
        <v>343</v>
      </c>
      <c r="C20" s="71"/>
      <c r="D20" s="131"/>
      <c r="E20" s="130"/>
    </row>
    <row r="21" spans="2:9" x14ac:dyDescent="0.35">
      <c r="B21" s="66" t="s">
        <v>344</v>
      </c>
      <c r="C21" s="71" t="s">
        <v>342</v>
      </c>
      <c r="D21" s="146">
        <f>material!D27</f>
        <v>1050</v>
      </c>
      <c r="E21" s="130"/>
      <c r="G21" s="135"/>
      <c r="I21" s="135"/>
    </row>
    <row r="22" spans="2:9" x14ac:dyDescent="0.35">
      <c r="B22" s="66" t="s">
        <v>345</v>
      </c>
      <c r="C22" s="71" t="s">
        <v>342</v>
      </c>
      <c r="D22" s="146">
        <f>material!D28</f>
        <v>348</v>
      </c>
      <c r="E22" s="130"/>
      <c r="G22" s="135"/>
    </row>
    <row r="23" spans="2:9" x14ac:dyDescent="0.35">
      <c r="B23" s="66" t="s">
        <v>346</v>
      </c>
      <c r="C23" s="71" t="s">
        <v>347</v>
      </c>
      <c r="D23" s="171">
        <f>D21*D22/10^6</f>
        <v>0.3654</v>
      </c>
      <c r="E23" s="130"/>
      <c r="G23" s="87"/>
    </row>
    <row r="24" spans="2:9" x14ac:dyDescent="0.35">
      <c r="B24" s="66"/>
      <c r="C24" s="71"/>
      <c r="D24" s="131"/>
      <c r="E24" s="130"/>
    </row>
    <row r="25" spans="2:9" x14ac:dyDescent="0.35">
      <c r="B25" s="20" t="s">
        <v>363</v>
      </c>
      <c r="C25" s="71"/>
      <c r="D25" s="131"/>
      <c r="E25" s="130"/>
    </row>
    <row r="26" spans="2:9" x14ac:dyDescent="0.35">
      <c r="B26" s="66" t="s">
        <v>348</v>
      </c>
      <c r="C26" s="71" t="s">
        <v>342</v>
      </c>
      <c r="D26" s="146">
        <v>25</v>
      </c>
      <c r="E26" s="130"/>
    </row>
    <row r="27" spans="2:9" x14ac:dyDescent="0.35">
      <c r="B27" s="66" t="s">
        <v>349</v>
      </c>
      <c r="C27" s="71" t="s">
        <v>342</v>
      </c>
      <c r="D27" s="146">
        <v>25</v>
      </c>
      <c r="E27" s="130"/>
    </row>
    <row r="28" spans="2:9" x14ac:dyDescent="0.35">
      <c r="B28" s="66" t="s">
        <v>350</v>
      </c>
      <c r="C28" s="71" t="s">
        <v>342</v>
      </c>
      <c r="D28" s="146">
        <v>8</v>
      </c>
      <c r="E28" s="130"/>
    </row>
    <row r="29" spans="2:9" x14ac:dyDescent="0.35">
      <c r="B29" s="66"/>
      <c r="C29" s="71"/>
      <c r="D29" s="131"/>
      <c r="E29" s="130"/>
    </row>
    <row r="30" spans="2:9" x14ac:dyDescent="0.35">
      <c r="B30" s="66" t="s">
        <v>351</v>
      </c>
      <c r="C30" s="71" t="s">
        <v>43</v>
      </c>
      <c r="D30" s="156">
        <f>(D26+D27)/D17</f>
        <v>2.7777777777777776E-2</v>
      </c>
      <c r="E30" s="130"/>
    </row>
    <row r="31" spans="2:9" x14ac:dyDescent="0.35">
      <c r="B31" s="66"/>
      <c r="C31" s="71"/>
      <c r="D31" s="131"/>
      <c r="E31" s="130"/>
    </row>
    <row r="32" spans="2:9" x14ac:dyDescent="0.35">
      <c r="B32" s="20" t="s">
        <v>352</v>
      </c>
      <c r="C32" s="71"/>
      <c r="D32" s="131"/>
      <c r="E32" s="130"/>
    </row>
    <row r="33" spans="2:9" x14ac:dyDescent="0.35">
      <c r="B33" s="66" t="s">
        <v>353</v>
      </c>
      <c r="C33" s="71" t="s">
        <v>45</v>
      </c>
      <c r="D33" s="146">
        <f>INT((D17-D26-D27)/D22)</f>
        <v>5</v>
      </c>
      <c r="E33" s="130"/>
    </row>
    <row r="34" spans="2:9" x14ac:dyDescent="0.35">
      <c r="B34" s="66"/>
      <c r="C34" s="71"/>
      <c r="D34" s="131"/>
      <c r="E34" s="130"/>
    </row>
    <row r="35" spans="2:9" x14ac:dyDescent="0.35">
      <c r="B35" s="20" t="s">
        <v>354</v>
      </c>
      <c r="C35" s="71"/>
      <c r="D35" s="131"/>
      <c r="E35" s="130"/>
    </row>
    <row r="36" spans="2:9" x14ac:dyDescent="0.35">
      <c r="B36" s="66" t="s">
        <v>345</v>
      </c>
      <c r="C36" s="71" t="s">
        <v>342</v>
      </c>
      <c r="D36" s="146">
        <f>D22*D33</f>
        <v>1740</v>
      </c>
      <c r="E36" s="130"/>
    </row>
    <row r="37" spans="2:9" x14ac:dyDescent="0.35">
      <c r="B37" s="66"/>
      <c r="C37" s="71"/>
      <c r="D37" s="131"/>
      <c r="E37" s="130"/>
    </row>
    <row r="38" spans="2:9" x14ac:dyDescent="0.35">
      <c r="B38" s="66" t="s">
        <v>517</v>
      </c>
      <c r="C38" s="164" t="s">
        <v>500</v>
      </c>
      <c r="D38" s="165">
        <f>(D50/(D18*input!$C$98)/60)*conversion!D45</f>
        <v>143.31041666666667</v>
      </c>
      <c r="E38" s="130"/>
      <c r="G38" s="226"/>
      <c r="I38" s="228"/>
    </row>
    <row r="39" spans="2:9" x14ac:dyDescent="0.35">
      <c r="B39" s="66" t="s">
        <v>503</v>
      </c>
      <c r="C39" s="71" t="s">
        <v>45</v>
      </c>
      <c r="D39" s="172">
        <f>D38/input!$C$99</f>
        <v>1.8094749579124578E-2</v>
      </c>
      <c r="E39" s="130"/>
      <c r="F39" s="226"/>
    </row>
    <row r="40" spans="2:9" x14ac:dyDescent="0.35">
      <c r="B40" s="66"/>
      <c r="C40" s="71"/>
      <c r="D40" s="131"/>
      <c r="E40" s="130"/>
    </row>
    <row r="41" spans="2:9" x14ac:dyDescent="0.35">
      <c r="B41" s="66" t="s">
        <v>320</v>
      </c>
      <c r="C41" s="71"/>
      <c r="D41" s="146" t="str">
        <f>_xlfn.XLOOKUP(B41,input!$A:$A,input!$C:$C,0)</f>
        <v>Flexo</v>
      </c>
      <c r="E41" s="130"/>
    </row>
    <row r="42" spans="2:9" x14ac:dyDescent="0.35">
      <c r="B42" s="66" t="s">
        <v>329</v>
      </c>
      <c r="C42" s="71"/>
      <c r="D42" s="146" t="str">
        <f>_xlfn.XLOOKUP(B42,input!$A:$A,input!$C:$C,0)</f>
        <v>TCY 6 PA + RDC</v>
      </c>
      <c r="E42" s="130"/>
    </row>
    <row r="43" spans="2:9" x14ac:dyDescent="0.35">
      <c r="B43" s="66" t="s">
        <v>515</v>
      </c>
      <c r="C43" s="71" t="s">
        <v>516</v>
      </c>
      <c r="D43" s="146">
        <f>VLOOKUP(D42,backup!$D$32:$J$77,COLUMNS(backup!$D$32:$G$32),0)</f>
        <v>70</v>
      </c>
      <c r="E43" s="130"/>
    </row>
    <row r="44" spans="2:9" x14ac:dyDescent="0.35">
      <c r="B44" s="66" t="s">
        <v>355</v>
      </c>
      <c r="C44" s="71" t="s">
        <v>45</v>
      </c>
      <c r="D44" s="146">
        <f>_xlfn.XLOOKUP(B44,input!$A:$A,input!$C:$C,0)</f>
        <v>3</v>
      </c>
      <c r="E44" s="130"/>
    </row>
    <row r="45" spans="2:9" x14ac:dyDescent="0.35">
      <c r="B45" s="66" t="s">
        <v>356</v>
      </c>
      <c r="C45" s="71" t="s">
        <v>45</v>
      </c>
      <c r="D45" s="146">
        <f>_xlfn.XLOOKUP($B$57,input!$A:$A,input!$C:$C,0)</f>
        <v>12</v>
      </c>
      <c r="E45" s="130"/>
    </row>
    <row r="46" spans="2:9" x14ac:dyDescent="0.35">
      <c r="B46" s="66" t="s">
        <v>93</v>
      </c>
      <c r="C46" s="71" t="s">
        <v>45</v>
      </c>
      <c r="D46" s="146">
        <f>IFERROR(D13/D45,0)</f>
        <v>409458.33333333331</v>
      </c>
      <c r="E46" s="130"/>
    </row>
    <row r="47" spans="2:9" x14ac:dyDescent="0.35">
      <c r="B47" s="66" t="s">
        <v>357</v>
      </c>
      <c r="C47" s="71" t="s">
        <v>358</v>
      </c>
      <c r="D47" s="171">
        <f>D23</f>
        <v>0.3654</v>
      </c>
      <c r="E47" s="130"/>
    </row>
    <row r="48" spans="2:9" x14ac:dyDescent="0.35">
      <c r="B48" s="66" t="s">
        <v>359</v>
      </c>
      <c r="C48" s="66" t="s">
        <v>358</v>
      </c>
      <c r="D48" s="146">
        <f>D46*D47</f>
        <v>149616.07499999998</v>
      </c>
      <c r="F48" s="87"/>
    </row>
    <row r="49" spans="2:5" x14ac:dyDescent="0.35">
      <c r="B49" s="66" t="s">
        <v>491</v>
      </c>
      <c r="C49" s="66" t="s">
        <v>342</v>
      </c>
      <c r="D49" s="146">
        <f>D36</f>
        <v>1740</v>
      </c>
    </row>
    <row r="50" spans="2:5" x14ac:dyDescent="0.35">
      <c r="B50" s="66" t="s">
        <v>492</v>
      </c>
      <c r="C50" s="66" t="s">
        <v>130</v>
      </c>
      <c r="D50" s="146">
        <f>D48*1000/D49</f>
        <v>85986.249999999985</v>
      </c>
    </row>
    <row r="51" spans="2:5" x14ac:dyDescent="0.35">
      <c r="B51" s="66" t="s">
        <v>499</v>
      </c>
      <c r="C51" s="66" t="s">
        <v>500</v>
      </c>
      <c r="D51" s="146">
        <f>D50/(D43*input!$C$98)/60*conversion!D45</f>
        <v>307.09374999999994</v>
      </c>
      <c r="E51" s="132"/>
    </row>
    <row r="52" spans="2:5" x14ac:dyDescent="0.35">
      <c r="B52" s="66" t="s">
        <v>503</v>
      </c>
      <c r="C52" s="71" t="s">
        <v>45</v>
      </c>
      <c r="D52" s="154">
        <f>D51/input!$C$99</f>
        <v>3.877446338383838E-2</v>
      </c>
    </row>
    <row r="53" spans="2:5" x14ac:dyDescent="0.35">
      <c r="B53" s="66"/>
      <c r="C53" s="66"/>
      <c r="D53" s="128"/>
    </row>
    <row r="54" spans="2:5" x14ac:dyDescent="0.35">
      <c r="B54" s="20" t="s">
        <v>360</v>
      </c>
      <c r="C54" s="66"/>
      <c r="D54" s="128"/>
    </row>
    <row r="55" spans="2:5" hidden="1" x14ac:dyDescent="0.35">
      <c r="B55" s="66" t="s">
        <v>68</v>
      </c>
      <c r="C55" s="71" t="s">
        <v>45</v>
      </c>
      <c r="D55" s="129" t="e">
        <f>_xlfn.XLOOKUP($B55,input!$A:$A,input!C:C)</f>
        <v>#N/A</v>
      </c>
    </row>
    <row r="56" spans="2:5" hidden="1" x14ac:dyDescent="0.35">
      <c r="B56" s="66" t="s">
        <v>93</v>
      </c>
      <c r="C56" s="71" t="s">
        <v>45</v>
      </c>
      <c r="D56" s="129" t="e">
        <f>D13/D55</f>
        <v>#N/A</v>
      </c>
    </row>
    <row r="57" spans="2:5" x14ac:dyDescent="0.35">
      <c r="B57" s="66" t="s">
        <v>361</v>
      </c>
      <c r="C57" s="71" t="s">
        <v>45</v>
      </c>
      <c r="D57" s="146">
        <f>_xlfn.XLOOKUP($B$57,input!$A:$A,input!$C:$C,0)</f>
        <v>12</v>
      </c>
    </row>
    <row r="58" spans="2:5" x14ac:dyDescent="0.35">
      <c r="B58" s="66" t="s">
        <v>94</v>
      </c>
      <c r="C58" s="71" t="s">
        <v>95</v>
      </c>
      <c r="D58" s="146">
        <f>_xlfn.XLOOKUP($D44,backup!$B:$B,backup!$E:$E,0)</f>
        <v>75</v>
      </c>
    </row>
    <row r="59" spans="2:5" x14ac:dyDescent="0.35">
      <c r="B59" s="66" t="s">
        <v>372</v>
      </c>
      <c r="C59" s="71" t="s">
        <v>431</v>
      </c>
      <c r="D59" s="146">
        <f>D18*5%</f>
        <v>7.5</v>
      </c>
    </row>
    <row r="60" spans="2:5" x14ac:dyDescent="0.35">
      <c r="B60" s="66" t="s">
        <v>493</v>
      </c>
      <c r="C60" s="71" t="s">
        <v>130</v>
      </c>
      <c r="D60" s="146">
        <f>IF(D$13=0,0,D58*D59)</f>
        <v>562.5</v>
      </c>
    </row>
    <row r="61" spans="2:5" x14ac:dyDescent="0.35">
      <c r="B61" s="66" t="s">
        <v>362</v>
      </c>
      <c r="C61" s="71" t="s">
        <v>43</v>
      </c>
      <c r="D61" s="156">
        <f>D60/D50</f>
        <v>6.5417435927255822E-3</v>
      </c>
    </row>
    <row r="62" spans="2:5" x14ac:dyDescent="0.35">
      <c r="B62" s="66" t="s">
        <v>499</v>
      </c>
      <c r="C62" s="66" t="s">
        <v>500</v>
      </c>
      <c r="D62" s="154">
        <f>D60/(D59*input!$C$98)/60*conversion!D57</f>
        <v>18.75</v>
      </c>
    </row>
    <row r="63" spans="2:5" x14ac:dyDescent="0.35">
      <c r="B63" s="66" t="s">
        <v>503</v>
      </c>
      <c r="C63" s="71" t="s">
        <v>45</v>
      </c>
      <c r="D63" s="154">
        <f>D62/input!$C$99</f>
        <v>2.3674242424242425E-3</v>
      </c>
    </row>
    <row r="64" spans="2:5" x14ac:dyDescent="0.35">
      <c r="B64" s="66"/>
      <c r="C64" s="71"/>
      <c r="D64" s="133"/>
    </row>
    <row r="65" spans="1:4" x14ac:dyDescent="0.35">
      <c r="B65" s="20" t="s">
        <v>364</v>
      </c>
      <c r="C65" s="71"/>
      <c r="D65" s="133"/>
    </row>
    <row r="66" spans="1:4" x14ac:dyDescent="0.35">
      <c r="B66" s="66" t="s">
        <v>365</v>
      </c>
      <c r="C66" s="71" t="s">
        <v>45</v>
      </c>
      <c r="D66" s="155">
        <f>$D57</f>
        <v>12</v>
      </c>
    </row>
    <row r="67" spans="1:4" x14ac:dyDescent="0.35">
      <c r="B67" s="66" t="s">
        <v>366</v>
      </c>
      <c r="C67" s="71" t="s">
        <v>367</v>
      </c>
      <c r="D67" s="155">
        <v>10</v>
      </c>
    </row>
    <row r="68" spans="1:4" x14ac:dyDescent="0.35">
      <c r="B68" s="66" t="s">
        <v>368</v>
      </c>
      <c r="C68" s="71" t="s">
        <v>431</v>
      </c>
      <c r="D68" s="155">
        <f>D18*10%</f>
        <v>15</v>
      </c>
    </row>
    <row r="69" spans="1:4" x14ac:dyDescent="0.35">
      <c r="B69" s="66" t="s">
        <v>494</v>
      </c>
      <c r="C69" s="71" t="s">
        <v>130</v>
      </c>
      <c r="D69" s="155">
        <f>D68*D67</f>
        <v>150</v>
      </c>
    </row>
    <row r="70" spans="1:4" x14ac:dyDescent="0.35">
      <c r="B70" s="66" t="s">
        <v>369</v>
      </c>
      <c r="C70" s="71" t="s">
        <v>43</v>
      </c>
      <c r="D70" s="156">
        <f>D69/D50</f>
        <v>1.7444649580601553E-3</v>
      </c>
    </row>
    <row r="71" spans="1:4" x14ac:dyDescent="0.35">
      <c r="B71" s="66" t="s">
        <v>499</v>
      </c>
      <c r="C71" s="66" t="s">
        <v>500</v>
      </c>
      <c r="D71" s="146">
        <f>D69/(D68*input!$C$98)/60*conversion!D66</f>
        <v>2.5</v>
      </c>
    </row>
    <row r="72" spans="1:4" x14ac:dyDescent="0.35">
      <c r="B72" s="66" t="s">
        <v>503</v>
      </c>
      <c r="C72" s="71" t="s">
        <v>45</v>
      </c>
      <c r="D72" s="154">
        <f>D71/input!$C$99</f>
        <v>3.1565656565656568E-4</v>
      </c>
    </row>
    <row r="73" spans="1:4" x14ac:dyDescent="0.35">
      <c r="B73" s="66"/>
      <c r="C73" s="71"/>
      <c r="D73" s="134"/>
    </row>
    <row r="74" spans="1:4" x14ac:dyDescent="0.35">
      <c r="A74" s="75" t="s">
        <v>377</v>
      </c>
      <c r="B74" s="66" t="s">
        <v>370</v>
      </c>
      <c r="C74" s="71" t="s">
        <v>43</v>
      </c>
      <c r="D74" s="156">
        <f>D30+D61+D70</f>
        <v>3.6063986328563509E-2</v>
      </c>
    </row>
    <row r="75" spans="1:4" x14ac:dyDescent="0.35">
      <c r="B75" s="66"/>
      <c r="C75" s="71"/>
      <c r="D75" s="134"/>
    </row>
    <row r="76" spans="1:4" x14ac:dyDescent="0.35">
      <c r="B76" s="66" t="s">
        <v>429</v>
      </c>
      <c r="C76" s="71"/>
      <c r="D76" s="155" t="str">
        <f>_xlfn.XLOOKUP($B76,input!$A:$A,input!$C:$C,0)</f>
        <v>Rotary</v>
      </c>
    </row>
    <row r="77" spans="1:4" x14ac:dyDescent="0.35">
      <c r="B77" s="66" t="s">
        <v>330</v>
      </c>
      <c r="C77" s="71"/>
      <c r="D77" s="155" t="str">
        <f>_xlfn.XLOOKUP($B77,input!$A:$A,input!$C:$C,0)</f>
        <v>Lian Tiee PS-1836 +RDC</v>
      </c>
    </row>
    <row r="78" spans="1:4" x14ac:dyDescent="0.35">
      <c r="B78" s="66" t="s">
        <v>331</v>
      </c>
      <c r="C78" s="71"/>
      <c r="D78" s="155" t="str">
        <f>_xlfn.XLOOKUP($B78,input!$A:$A,input!$C:$C,0)</f>
        <v>BOBst Mastercut 1.7/2.1</v>
      </c>
    </row>
    <row r="79" spans="1:4" x14ac:dyDescent="0.35">
      <c r="B79" s="66" t="s">
        <v>361</v>
      </c>
      <c r="C79" s="71" t="s">
        <v>45</v>
      </c>
      <c r="D79" s="155">
        <f>D57</f>
        <v>12</v>
      </c>
    </row>
    <row r="80" spans="1:4" x14ac:dyDescent="0.35">
      <c r="B80" s="66" t="s">
        <v>371</v>
      </c>
      <c r="C80" s="71" t="s">
        <v>367</v>
      </c>
      <c r="D80" s="155">
        <f>VLOOKUP($D$76,backup!$D$106:$E$107,2,0)</f>
        <v>25</v>
      </c>
    </row>
    <row r="81" spans="1:4" x14ac:dyDescent="0.35">
      <c r="B81" s="66" t="s">
        <v>372</v>
      </c>
      <c r="C81" s="71" t="s">
        <v>519</v>
      </c>
      <c r="D81" s="165">
        <f>VLOOKUP(IF(D76="Rotary",D77,D78),backup!$D$32:$J$77,COLUMNS(backup!$D$32:$G$32),0)</f>
        <v>9000</v>
      </c>
    </row>
    <row r="82" spans="1:4" x14ac:dyDescent="0.35">
      <c r="B82" s="66" t="s">
        <v>374</v>
      </c>
      <c r="C82" s="71" t="s">
        <v>45</v>
      </c>
      <c r="D82" s="155">
        <f>IF(D$13=0,0,D80*D81/60)</f>
        <v>3750</v>
      </c>
    </row>
    <row r="83" spans="1:4" x14ac:dyDescent="0.35">
      <c r="B83" s="66" t="s">
        <v>375</v>
      </c>
      <c r="C83" s="71" t="s">
        <v>45</v>
      </c>
      <c r="D83" s="155">
        <f>D33*D82</f>
        <v>18750</v>
      </c>
    </row>
    <row r="84" spans="1:4" x14ac:dyDescent="0.35">
      <c r="A84" s="75" t="s">
        <v>377</v>
      </c>
      <c r="B84" s="66" t="s">
        <v>362</v>
      </c>
      <c r="C84" s="71" t="s">
        <v>43</v>
      </c>
      <c r="D84" s="156">
        <f>IFERROR(D83/D46,0)</f>
        <v>4.5792205149079071E-2</v>
      </c>
    </row>
    <row r="85" spans="1:4" x14ac:dyDescent="0.35">
      <c r="B85" s="66" t="s">
        <v>520</v>
      </c>
      <c r="C85" s="66" t="s">
        <v>500</v>
      </c>
      <c r="D85" s="146">
        <f>D82/(D81*input!$C$98)/60*conversion!D79</f>
        <v>0.10416666666666667</v>
      </c>
    </row>
    <row r="86" spans="1:4" x14ac:dyDescent="0.35">
      <c r="B86" s="164" t="s">
        <v>521</v>
      </c>
      <c r="C86" s="66" t="s">
        <v>500</v>
      </c>
      <c r="D86" s="146">
        <f>D46/D33/(D81*input!$C$98)*D79</f>
        <v>136.48611111111109</v>
      </c>
    </row>
    <row r="87" spans="1:4" x14ac:dyDescent="0.35">
      <c r="B87" s="66" t="s">
        <v>503</v>
      </c>
      <c r="C87" s="66" t="s">
        <v>45</v>
      </c>
      <c r="D87" s="171">
        <f>(D85+D86)/input!$C$99</f>
        <v>1.7246247194163858E-2</v>
      </c>
    </row>
    <row r="88" spans="1:4" x14ac:dyDescent="0.35">
      <c r="B88" s="66"/>
      <c r="C88" s="71"/>
      <c r="D88" s="134"/>
    </row>
    <row r="89" spans="1:4" x14ac:dyDescent="0.35">
      <c r="B89" s="20" t="s">
        <v>376</v>
      </c>
      <c r="C89" s="71"/>
      <c r="D89" s="134"/>
    </row>
    <row r="90" spans="1:4" x14ac:dyDescent="0.35">
      <c r="B90" s="66" t="s">
        <v>332</v>
      </c>
      <c r="C90" s="71"/>
      <c r="D90" s="155" t="str">
        <f>_xlfn.XLOOKUP($B90,input!$A:$A,input!$C:$C,0)</f>
        <v>Bobst 1228 NT RS</v>
      </c>
    </row>
    <row r="91" spans="1:4" x14ac:dyDescent="0.35">
      <c r="B91" s="66" t="s">
        <v>372</v>
      </c>
      <c r="C91" s="167" t="s">
        <v>519</v>
      </c>
      <c r="D91" s="165">
        <f>VLOOKUP(D90,backup!$D$32:$J$77,COLUMNS(backup!$D$32:$G$32),0)</f>
        <v>10000</v>
      </c>
    </row>
    <row r="92" spans="1:4" x14ac:dyDescent="0.35">
      <c r="B92" s="66" t="s">
        <v>361</v>
      </c>
      <c r="C92" s="71" t="s">
        <v>45</v>
      </c>
      <c r="D92" s="155">
        <f>D57</f>
        <v>12</v>
      </c>
    </row>
    <row r="93" spans="1:4" x14ac:dyDescent="0.35">
      <c r="B93" s="66" t="s">
        <v>371</v>
      </c>
      <c r="C93" s="71" t="s">
        <v>367</v>
      </c>
      <c r="D93" s="155">
        <v>30</v>
      </c>
    </row>
    <row r="94" spans="1:4" x14ac:dyDescent="0.35">
      <c r="B94" s="66" t="s">
        <v>372</v>
      </c>
      <c r="C94" s="71" t="s">
        <v>373</v>
      </c>
      <c r="D94" s="155">
        <f>D91/60*10%</f>
        <v>16.666666666666668</v>
      </c>
    </row>
    <row r="95" spans="1:4" x14ac:dyDescent="0.35">
      <c r="B95" s="66" t="s">
        <v>374</v>
      </c>
      <c r="C95" s="71" t="s">
        <v>45</v>
      </c>
      <c r="D95" s="155">
        <f>IF(D$13=0,0,D93*D94)</f>
        <v>500.00000000000006</v>
      </c>
    </row>
    <row r="96" spans="1:4" x14ac:dyDescent="0.35">
      <c r="B96" s="66" t="s">
        <v>375</v>
      </c>
      <c r="C96" s="71" t="s">
        <v>45</v>
      </c>
      <c r="D96" s="155">
        <f>D33*D95</f>
        <v>2500.0000000000005</v>
      </c>
    </row>
    <row r="97" spans="1:11" x14ac:dyDescent="0.35">
      <c r="A97" s="75" t="s">
        <v>377</v>
      </c>
      <c r="B97" s="66" t="s">
        <v>362</v>
      </c>
      <c r="C97" s="71" t="s">
        <v>43</v>
      </c>
      <c r="D97" s="168">
        <f>IFERROR(D96/D46,0)</f>
        <v>6.1056273532105439E-3</v>
      </c>
    </row>
    <row r="98" spans="1:11" x14ac:dyDescent="0.35">
      <c r="B98" s="164" t="s">
        <v>520</v>
      </c>
      <c r="C98" s="66" t="s">
        <v>500</v>
      </c>
      <c r="D98" s="146">
        <f>D95/(D18*input!$C$98)/60*conversion!D92</f>
        <v>0.83333333333333337</v>
      </c>
    </row>
    <row r="99" spans="1:11" x14ac:dyDescent="0.35">
      <c r="B99" s="164" t="s">
        <v>521</v>
      </c>
      <c r="C99" s="66" t="s">
        <v>500</v>
      </c>
      <c r="D99" s="146">
        <f>D46/D33/(D91*input!$C$98)*D92</f>
        <v>122.83749999999998</v>
      </c>
    </row>
    <row r="100" spans="1:11" x14ac:dyDescent="0.35">
      <c r="B100" s="66" t="s">
        <v>503</v>
      </c>
      <c r="C100" s="164" t="s">
        <v>45</v>
      </c>
      <c r="D100" s="171">
        <f>(D98+D99)/input!$C$99</f>
        <v>1.5615004208754205E-2</v>
      </c>
    </row>
    <row r="101" spans="1:11" x14ac:dyDescent="0.35">
      <c r="B101" s="66"/>
      <c r="C101" s="71"/>
      <c r="D101" s="134"/>
    </row>
    <row r="102" spans="1:11" x14ac:dyDescent="0.35">
      <c r="B102" s="66" t="s">
        <v>377</v>
      </c>
      <c r="C102" s="71"/>
      <c r="D102" s="156">
        <f>SUMIF($A$12:$A$101,$B$102,$D$12:$D$101)</f>
        <v>8.7961818830853133E-2</v>
      </c>
    </row>
    <row r="103" spans="1:11" x14ac:dyDescent="0.35">
      <c r="B103" s="66"/>
      <c r="C103" s="71"/>
      <c r="D103" s="133"/>
    </row>
    <row r="104" spans="1:11" x14ac:dyDescent="0.35">
      <c r="B104" s="20" t="s">
        <v>96</v>
      </c>
      <c r="C104" s="66"/>
      <c r="D104" s="128"/>
    </row>
    <row r="105" spans="1:11" x14ac:dyDescent="0.35">
      <c r="B105" s="66" t="str">
        <f>input!C49</f>
        <v>BHS Eco Line</v>
      </c>
      <c r="C105" s="66" t="str">
        <f>input!$C$5</f>
        <v>INR</v>
      </c>
      <c r="D105" s="158">
        <f>_xlfn.XLOOKUP($B105,backup!$D:$D,backup!$L:$L,0)*D39</f>
        <v>5565881.6389151933</v>
      </c>
      <c r="E105" s="135"/>
      <c r="F105" s="87"/>
      <c r="G105" s="87"/>
      <c r="J105" s="246"/>
      <c r="K105" s="87"/>
    </row>
    <row r="106" spans="1:11" x14ac:dyDescent="0.35">
      <c r="B106" s="66" t="str">
        <f>input!C50</f>
        <v>TCY 6 PA + RDC</v>
      </c>
      <c r="C106" s="66" t="str">
        <f>input!$C$5</f>
        <v>INR</v>
      </c>
      <c r="D106" s="158">
        <f>_xlfn.XLOOKUP($B106,backup!$D:$D,backup!$L:$L,0)*(D52+D63+D72)</f>
        <v>2161389.0664457069</v>
      </c>
      <c r="E106" s="135"/>
      <c r="F106" s="87"/>
      <c r="G106" s="87"/>
    </row>
    <row r="107" spans="1:11" x14ac:dyDescent="0.35">
      <c r="B107" s="66" t="str">
        <f>input!C51</f>
        <v>Lian Tiee PS-1836 +RDC</v>
      </c>
      <c r="C107" s="66" t="str">
        <f>input!$C$5</f>
        <v>INR</v>
      </c>
      <c r="D107" s="230">
        <f>IF(input!$C$46="Rotary",_xlfn.XLOOKUP($B107,backup!$D:$D,backup!$L:$L,0),IF(input!$C$46="Flat Bed",0,0))*D87</f>
        <v>629393.16822741285</v>
      </c>
      <c r="F107" s="87"/>
      <c r="G107" s="87"/>
    </row>
    <row r="108" spans="1:11" x14ac:dyDescent="0.35">
      <c r="B108" s="66" t="str">
        <f>input!C52</f>
        <v>BOBst Mastercut 1.7/2.1</v>
      </c>
      <c r="C108" s="66" t="str">
        <f>input!$C$5</f>
        <v>INR</v>
      </c>
      <c r="D108" s="229">
        <f>IF(input!$C$46="Flat Bed",_xlfn.XLOOKUP($B108,backup!$D:$D,backup!$L:$L,0),IF(input!$C$46="Rotary",0,0))*D87</f>
        <v>0</v>
      </c>
      <c r="E108" s="135"/>
      <c r="F108" s="87"/>
      <c r="G108" s="87"/>
    </row>
    <row r="109" spans="1:11" x14ac:dyDescent="0.35">
      <c r="B109" s="66" t="str">
        <f>input!C53</f>
        <v>Bobst 1228 NT RS</v>
      </c>
      <c r="C109" s="66" t="str">
        <f>input!$C$5</f>
        <v>INR</v>
      </c>
      <c r="D109" s="158">
        <f>_xlfn.XLOOKUP($B109,backup!$D:$D,backup!$L:$L,0)*D100</f>
        <v>1139723.5421927606</v>
      </c>
      <c r="E109" s="135"/>
      <c r="F109" s="87"/>
      <c r="G109" s="87"/>
    </row>
    <row r="110" spans="1:11" x14ac:dyDescent="0.35">
      <c r="B110" s="66" t="s">
        <v>485</v>
      </c>
      <c r="C110" s="66" t="str">
        <f>input!$C$5</f>
        <v>INR</v>
      </c>
      <c r="D110" s="158">
        <f>backup!$E$29*((D38+D51+D62+D71+D85+D86+D98+D99)/input!$C$99)</f>
        <v>4880678.3170769326</v>
      </c>
      <c r="F110" s="87"/>
      <c r="G110" s="87"/>
    </row>
    <row r="111" spans="1:11" x14ac:dyDescent="0.35">
      <c r="B111" s="66" t="s">
        <v>98</v>
      </c>
      <c r="C111" s="66" t="str">
        <f>input!$C$5</f>
        <v>INR</v>
      </c>
      <c r="D111" s="146">
        <f>SUM(D105:D110)</f>
        <v>14377065.732858006</v>
      </c>
      <c r="E111" s="227"/>
      <c r="G111" s="87"/>
    </row>
    <row r="112" spans="1:11" x14ac:dyDescent="0.35">
      <c r="B112" s="66"/>
      <c r="C112" s="66"/>
      <c r="D112" s="128"/>
    </row>
    <row r="113" spans="2:4" x14ac:dyDescent="0.35">
      <c r="B113" s="66" t="s">
        <v>55</v>
      </c>
      <c r="C113" s="71" t="s">
        <v>56</v>
      </c>
      <c r="D113" s="146">
        <f>_xlfn.XLOOKUP($B113,input!$A:$A,input!C:C)</f>
        <v>5</v>
      </c>
    </row>
    <row r="114" spans="2:4" x14ac:dyDescent="0.35">
      <c r="B114" s="66" t="s">
        <v>18</v>
      </c>
      <c r="C114" s="66" t="str">
        <f>input!$C$5</f>
        <v>INR</v>
      </c>
      <c r="D114" s="146">
        <f>VLOOKUP(D113,Depreciation_Schedule,COLUMNS($A$266:$D$266),0)</f>
        <v>1069450.839112811</v>
      </c>
    </row>
    <row r="115" spans="2:4" x14ac:dyDescent="0.35">
      <c r="B115" s="21" t="s">
        <v>18</v>
      </c>
      <c r="C115" s="24" t="str">
        <f>input!$C$5&amp;" / 1000 pcs"</f>
        <v>INR / 1000 pcs</v>
      </c>
      <c r="D115" s="146">
        <f>D114*1000/$D$13</f>
        <v>217.65560987337153</v>
      </c>
    </row>
    <row r="116" spans="2:4" x14ac:dyDescent="0.35">
      <c r="B116" s="66"/>
      <c r="C116" s="66"/>
      <c r="D116" s="128"/>
    </row>
    <row r="117" spans="2:4" x14ac:dyDescent="0.35">
      <c r="B117" s="66" t="s">
        <v>64</v>
      </c>
      <c r="C117" s="71" t="s">
        <v>43</v>
      </c>
      <c r="D117" s="157">
        <f>_xlfn.XLOOKUP($B117,input!$A:$A,input!C:C)</f>
        <v>0.125</v>
      </c>
    </row>
    <row r="118" spans="2:4" x14ac:dyDescent="0.35">
      <c r="B118" s="66" t="s">
        <v>64</v>
      </c>
      <c r="C118" s="66" t="str">
        <f>input!$C$5</f>
        <v>INR</v>
      </c>
      <c r="D118" s="146">
        <f>IF($D$113&gt;10,0,VLOOKUP(D113,Interest_Schedule,COLUMNS($A$306:$D$364),0))</f>
        <v>1315881.67684711</v>
      </c>
    </row>
    <row r="119" spans="2:4" x14ac:dyDescent="0.35">
      <c r="B119" s="21" t="s">
        <v>64</v>
      </c>
      <c r="C119" s="24" t="str">
        <f>input!$C$5&amp;" / 1000 pcs"</f>
        <v>INR / 1000 pcs</v>
      </c>
      <c r="D119" s="146">
        <f>D118*1000/D13</f>
        <v>267.80943865820905</v>
      </c>
    </row>
    <row r="120" spans="2:4" x14ac:dyDescent="0.35">
      <c r="B120" s="66"/>
      <c r="C120" s="66"/>
      <c r="D120" s="128"/>
    </row>
    <row r="121" spans="2:4" x14ac:dyDescent="0.35">
      <c r="B121" s="66" t="s">
        <v>65</v>
      </c>
      <c r="C121" s="66"/>
      <c r="D121" s="137"/>
    </row>
    <row r="122" spans="2:4" x14ac:dyDescent="0.35">
      <c r="B122" s="66" t="s">
        <v>65</v>
      </c>
      <c r="C122" s="71" t="s">
        <v>43</v>
      </c>
      <c r="D122" s="156">
        <f>_xlfn.XLOOKUP(B122,input!$A:$A,input!$C:$C,0)</f>
        <v>0.14000000000000001</v>
      </c>
    </row>
    <row r="123" spans="2:4" x14ac:dyDescent="0.35">
      <c r="B123" s="21" t="s">
        <v>99</v>
      </c>
      <c r="C123" s="24" t="str">
        <f>input!$C$5&amp;" / 1000 pcs"</f>
        <v>INR / 1000 pcs</v>
      </c>
      <c r="D123" s="146">
        <f>D162</f>
        <v>1.3455653697818182</v>
      </c>
    </row>
    <row r="124" spans="2:4" x14ac:dyDescent="0.35">
      <c r="B124" s="21" t="s">
        <v>100</v>
      </c>
      <c r="C124" s="24" t="str">
        <f>input!$C$5&amp;" / 1000 pcs"</f>
        <v>INR / 1000 pcs</v>
      </c>
      <c r="D124" s="146">
        <f>D163</f>
        <v>12.867495230881481</v>
      </c>
    </row>
    <row r="125" spans="2:4" x14ac:dyDescent="0.35">
      <c r="B125" s="21" t="s">
        <v>101</v>
      </c>
      <c r="C125" s="24" t="str">
        <f>input!$C$5&amp;" / 1000 pcs"</f>
        <v>INR / 1000 pcs</v>
      </c>
      <c r="D125" s="146">
        <f>D164</f>
        <v>2.1054203937890974</v>
      </c>
    </row>
    <row r="126" spans="2:4" x14ac:dyDescent="0.35">
      <c r="B126" s="21"/>
      <c r="C126" s="24"/>
      <c r="D126" s="131"/>
    </row>
    <row r="127" spans="2:4" x14ac:dyDescent="0.35">
      <c r="B127" s="66" t="s">
        <v>52</v>
      </c>
      <c r="C127" s="71" t="s">
        <v>43</v>
      </c>
      <c r="D127" s="157">
        <f>_xlfn.XLOOKUP($B127,input!$A:$A,input!C:C)</f>
        <v>2.5000000000000001E-2</v>
      </c>
    </row>
    <row r="128" spans="2:4" x14ac:dyDescent="0.35">
      <c r="B128" s="66" t="s">
        <v>52</v>
      </c>
      <c r="C128" s="66" t="str">
        <f>input!$C$5</f>
        <v>INR</v>
      </c>
      <c r="D128" s="146">
        <f>D111*D127</f>
        <v>359426.64332145016</v>
      </c>
    </row>
    <row r="129" spans="1:8" x14ac:dyDescent="0.35">
      <c r="B129" s="21" t="s">
        <v>52</v>
      </c>
      <c r="C129" s="24" t="str">
        <f>input!$C$5&amp;" / 1000 pcs"</f>
        <v>INR / 1000 pcs</v>
      </c>
      <c r="D129" s="146">
        <f>D128*1000/D13</f>
        <v>73.150838164536523</v>
      </c>
    </row>
    <row r="130" spans="1:8" x14ac:dyDescent="0.35">
      <c r="B130" s="66"/>
      <c r="C130" s="66"/>
      <c r="D130" s="128"/>
    </row>
    <row r="131" spans="1:8" x14ac:dyDescent="0.35">
      <c r="B131" s="66" t="s">
        <v>16</v>
      </c>
      <c r="C131" s="71" t="s">
        <v>43</v>
      </c>
      <c r="D131" s="157">
        <f>_xlfn.XLOOKUP($B131,input!$A:$A,input!C:C)</f>
        <v>2.5000000000000001E-2</v>
      </c>
    </row>
    <row r="132" spans="1:8" x14ac:dyDescent="0.35">
      <c r="B132" s="66" t="s">
        <v>16</v>
      </c>
      <c r="C132" s="66" t="str">
        <f>input!$C$5</f>
        <v>INR</v>
      </c>
      <c r="D132" s="146">
        <f>D111*D131</f>
        <v>359426.64332145016</v>
      </c>
    </row>
    <row r="133" spans="1:8" x14ac:dyDescent="0.35">
      <c r="A133" s="39" t="s">
        <v>102</v>
      </c>
      <c r="B133" s="21" t="s">
        <v>16</v>
      </c>
      <c r="C133" s="24" t="str">
        <f>input!$C$5&amp;" / 1000 pcs"</f>
        <v>INR / 1000 pcs</v>
      </c>
      <c r="D133" s="154">
        <f>D132*1000/D13</f>
        <v>73.150838164536523</v>
      </c>
    </row>
    <row r="134" spans="1:8" x14ac:dyDescent="0.35">
      <c r="B134" s="66"/>
      <c r="C134" s="66"/>
      <c r="D134" s="128"/>
    </row>
    <row r="135" spans="1:8" x14ac:dyDescent="0.35">
      <c r="B135" s="23" t="s">
        <v>103</v>
      </c>
      <c r="C135" s="66"/>
      <c r="D135" s="128"/>
    </row>
    <row r="136" spans="1:8" x14ac:dyDescent="0.35">
      <c r="B136" s="66" t="s">
        <v>104</v>
      </c>
      <c r="C136" s="66"/>
      <c r="D136" s="131"/>
      <c r="E136" s="124"/>
      <c r="F136" s="124"/>
      <c r="G136" s="124"/>
      <c r="H136" s="124"/>
    </row>
    <row r="137" spans="1:8" x14ac:dyDescent="0.35">
      <c r="B137" s="20" t="s">
        <v>105</v>
      </c>
      <c r="C137" s="71" t="s">
        <v>106</v>
      </c>
      <c r="D137" s="131"/>
      <c r="E137" s="124"/>
      <c r="F137" s="124"/>
      <c r="G137" s="124"/>
      <c r="H137" s="124"/>
    </row>
    <row r="138" spans="1:8" x14ac:dyDescent="0.35">
      <c r="B138" s="139" t="s">
        <v>328</v>
      </c>
      <c r="C138" s="71" t="s">
        <v>106</v>
      </c>
      <c r="D138" s="158">
        <f>VLOOKUP($B138,backup!$B$32:$I$77,COLUMNS(backup!$B$32:$I$32),0)</f>
        <v>340</v>
      </c>
      <c r="E138" s="124"/>
      <c r="F138" s="124"/>
      <c r="G138" s="124"/>
      <c r="H138" s="124"/>
    </row>
    <row r="139" spans="1:8" x14ac:dyDescent="0.35">
      <c r="B139" s="139" t="s">
        <v>329</v>
      </c>
      <c r="C139" s="71" t="s">
        <v>106</v>
      </c>
      <c r="D139" s="158">
        <f>VLOOKUP($B139,backup!$B$32:$I$77,COLUMNS(backup!$B$32:$I$32),0)</f>
        <v>80</v>
      </c>
      <c r="E139" s="124"/>
      <c r="F139" s="124"/>
      <c r="G139" s="124"/>
      <c r="H139" s="124"/>
    </row>
    <row r="140" spans="1:8" x14ac:dyDescent="0.35">
      <c r="B140" s="139" t="s">
        <v>331</v>
      </c>
      <c r="C140" s="71" t="s">
        <v>106</v>
      </c>
      <c r="D140" s="158">
        <f>IF($D$76="Flat bed",VLOOKUP($B140,backup!$B$32:$I$77,COLUMNS(backup!$B$32:$I$32),0),0)</f>
        <v>0</v>
      </c>
      <c r="E140" s="124"/>
      <c r="F140" s="124"/>
      <c r="G140" s="124"/>
      <c r="H140" s="124"/>
    </row>
    <row r="141" spans="1:8" x14ac:dyDescent="0.35">
      <c r="B141" s="139" t="s">
        <v>330</v>
      </c>
      <c r="C141" s="71" t="s">
        <v>106</v>
      </c>
      <c r="D141" s="158">
        <f>IF($D$76="Rotary",VLOOKUP($B141,backup!$B$32:$I$77,COLUMNS(backup!$B$32:$I$32),0),0)</f>
        <v>80</v>
      </c>
      <c r="E141" s="124"/>
      <c r="F141" s="124"/>
      <c r="G141" s="124"/>
      <c r="H141" s="124"/>
    </row>
    <row r="142" spans="1:8" x14ac:dyDescent="0.35">
      <c r="B142" s="139" t="s">
        <v>332</v>
      </c>
      <c r="C142" s="71" t="s">
        <v>106</v>
      </c>
      <c r="D142" s="158">
        <f>VLOOKUP($B142,backup!$B$32:$I$77,COLUMNS(backup!$B$32:$I$32),0)</f>
        <v>80</v>
      </c>
      <c r="E142" s="124"/>
      <c r="F142" s="124"/>
      <c r="G142" s="124"/>
      <c r="H142" s="124"/>
    </row>
    <row r="143" spans="1:8" x14ac:dyDescent="0.35">
      <c r="B143" s="66" t="s">
        <v>107</v>
      </c>
      <c r="C143" s="71" t="s">
        <v>106</v>
      </c>
      <c r="D143" s="158">
        <f>SUM(D138:D142)*20%</f>
        <v>116</v>
      </c>
      <c r="E143" s="124"/>
      <c r="F143" s="124"/>
      <c r="G143" s="124"/>
      <c r="H143" s="124"/>
    </row>
    <row r="144" spans="1:8" x14ac:dyDescent="0.35">
      <c r="B144" s="66" t="s">
        <v>108</v>
      </c>
      <c r="C144" s="71" t="s">
        <v>106</v>
      </c>
      <c r="D144" s="158">
        <f>SUM(D138:D143)</f>
        <v>696</v>
      </c>
      <c r="E144" s="124"/>
      <c r="F144" s="124"/>
      <c r="G144" s="124"/>
      <c r="H144" s="124"/>
    </row>
    <row r="145" spans="2:8" x14ac:dyDescent="0.35">
      <c r="B145" s="66" t="s">
        <v>109</v>
      </c>
      <c r="C145" s="71" t="s">
        <v>43</v>
      </c>
      <c r="D145" s="147">
        <v>0.5</v>
      </c>
      <c r="E145" s="126"/>
      <c r="F145" s="126"/>
      <c r="G145" s="126"/>
      <c r="H145" s="126"/>
    </row>
    <row r="146" spans="2:8" x14ac:dyDescent="0.35">
      <c r="B146" s="66" t="s">
        <v>110</v>
      </c>
      <c r="C146" s="71" t="s">
        <v>106</v>
      </c>
      <c r="D146" s="158">
        <f>D144*D145</f>
        <v>348</v>
      </c>
      <c r="E146" s="124"/>
      <c r="F146" s="124"/>
      <c r="G146" s="124"/>
      <c r="H146" s="124"/>
    </row>
    <row r="147" spans="2:8" x14ac:dyDescent="0.35">
      <c r="B147" s="66" t="s">
        <v>46</v>
      </c>
      <c r="C147" s="71" t="str">
        <f>input!$C$5&amp;" /KWH"</f>
        <v>INR /KWH</v>
      </c>
      <c r="D147" s="146">
        <f>_xlfn.XLOOKUP($B147,input!$A:$A,input!C:C)</f>
        <v>10.72</v>
      </c>
      <c r="E147" s="124"/>
      <c r="F147" s="124"/>
      <c r="G147" s="124"/>
      <c r="H147" s="124"/>
    </row>
    <row r="148" spans="2:8" x14ac:dyDescent="0.35">
      <c r="B148" s="66" t="s">
        <v>111</v>
      </c>
      <c r="C148" s="71" t="str">
        <f>input!$C$5&amp;" /KWH"</f>
        <v>INR /KWH</v>
      </c>
      <c r="D148" s="146">
        <f>D146*D147</f>
        <v>3730.5600000000004</v>
      </c>
      <c r="E148" s="124"/>
      <c r="F148" s="124"/>
      <c r="G148" s="124"/>
      <c r="H148" s="124"/>
    </row>
    <row r="149" spans="2:8" x14ac:dyDescent="0.35">
      <c r="B149" s="66" t="s">
        <v>522</v>
      </c>
      <c r="C149" s="71" t="s">
        <v>500</v>
      </c>
      <c r="D149" s="146">
        <f>(D38+D51+D62+D71+D85+D86+D98+D99)</f>
        <v>731.91527777777765</v>
      </c>
      <c r="F149" s="124"/>
      <c r="G149" s="124"/>
      <c r="H149" s="124"/>
    </row>
    <row r="150" spans="2:8" x14ac:dyDescent="0.35">
      <c r="B150" s="66" t="s">
        <v>112</v>
      </c>
      <c r="C150" s="66" t="str">
        <f>input!$C$5</f>
        <v>INR</v>
      </c>
      <c r="D150" s="146">
        <f>D148*D149</f>
        <v>2730453.8586666663</v>
      </c>
      <c r="E150" s="124"/>
      <c r="F150" s="124"/>
      <c r="G150" s="124"/>
      <c r="H150" s="124"/>
    </row>
    <row r="151" spans="2:8" x14ac:dyDescent="0.35">
      <c r="B151" s="21" t="s">
        <v>103</v>
      </c>
      <c r="C151" s="24" t="str">
        <f>input!$C$5&amp;" / 1000 pcs"</f>
        <v>INR / 1000 pcs</v>
      </c>
      <c r="D151" s="146">
        <f>D150*1000/D13</f>
        <v>555.70445887181575</v>
      </c>
      <c r="E151" s="124"/>
      <c r="F151" s="124"/>
      <c r="G151" s="124"/>
      <c r="H151" s="124"/>
    </row>
    <row r="152" spans="2:8" x14ac:dyDescent="0.35">
      <c r="B152" s="66"/>
      <c r="C152" s="66"/>
      <c r="D152" s="128"/>
    </row>
    <row r="153" spans="2:8" x14ac:dyDescent="0.35">
      <c r="B153" s="23" t="s">
        <v>113</v>
      </c>
      <c r="C153" s="24" t="str">
        <f>input!$C$5&amp;" / 1000 pcs"</f>
        <v>INR / 1000 pcs</v>
      </c>
      <c r="D153" s="146">
        <f>$I$207*1000/$D$13</f>
        <v>166.47367825116947</v>
      </c>
    </row>
    <row r="154" spans="2:8" x14ac:dyDescent="0.35">
      <c r="B154" s="66"/>
      <c r="C154" s="66"/>
      <c r="D154" s="128"/>
    </row>
    <row r="155" spans="2:8" x14ac:dyDescent="0.35">
      <c r="B155" s="23" t="s">
        <v>114</v>
      </c>
      <c r="C155" s="24" t="str">
        <f>input!$C$5&amp;" / 1000 pcs"</f>
        <v>INR / 1000 pcs</v>
      </c>
      <c r="D155" s="146">
        <f>D240*1000/D13</f>
        <v>439.99158236184786</v>
      </c>
    </row>
    <row r="156" spans="2:8" x14ac:dyDescent="0.35">
      <c r="B156" s="66"/>
      <c r="C156" s="66"/>
      <c r="D156" s="128"/>
    </row>
    <row r="157" spans="2:8" x14ac:dyDescent="0.35">
      <c r="B157" s="23" t="s">
        <v>5</v>
      </c>
      <c r="C157" s="24" t="str">
        <f>input!$C$5&amp;" / 1000 pcs"</f>
        <v>INR / 1000 pcs</v>
      </c>
      <c r="D157" s="146">
        <f>SUMIF($C$13:$C$155,$C$157,D$13:D$155)</f>
        <v>1810.2549253399391</v>
      </c>
    </row>
    <row r="158" spans="2:8" x14ac:dyDescent="0.35">
      <c r="B158" s="66"/>
      <c r="C158" s="66"/>
      <c r="D158" s="128"/>
    </row>
    <row r="159" spans="2:8" x14ac:dyDescent="0.35">
      <c r="B159" s="66"/>
      <c r="C159" s="66"/>
      <c r="D159" s="128"/>
    </row>
    <row r="160" spans="2:8" x14ac:dyDescent="0.35">
      <c r="B160" s="23" t="s">
        <v>115</v>
      </c>
      <c r="C160" s="66"/>
      <c r="D160" s="128"/>
    </row>
    <row r="161" spans="2:5" x14ac:dyDescent="0.35">
      <c r="B161" s="20" t="s">
        <v>116</v>
      </c>
      <c r="C161" s="66"/>
      <c r="D161" s="128"/>
    </row>
    <row r="162" spans="2:5" x14ac:dyDescent="0.35">
      <c r="B162" s="66" t="s">
        <v>99</v>
      </c>
      <c r="C162" s="71" t="str">
        <f>input!$C$5&amp;" / 1000 pcs"</f>
        <v>INR / 1000 pcs</v>
      </c>
      <c r="D162" s="146">
        <f>D175*input!C13/1000</f>
        <v>1.3455653697818182</v>
      </c>
    </row>
    <row r="163" spans="2:5" x14ac:dyDescent="0.35">
      <c r="B163" s="66" t="s">
        <v>100</v>
      </c>
      <c r="C163" s="71" t="str">
        <f>input!$C$5&amp;" / 1000 pcs"</f>
        <v>INR / 1000 pcs</v>
      </c>
      <c r="D163" s="146">
        <f>SUM(D180:D181)*D192*D122/D13</f>
        <v>12.867495230881481</v>
      </c>
    </row>
    <row r="164" spans="2:5" x14ac:dyDescent="0.35">
      <c r="B164" s="66" t="s">
        <v>117</v>
      </c>
      <c r="C164" s="71" t="str">
        <f>input!$C$5&amp;" / 1000 pcs"</f>
        <v>INR / 1000 pcs</v>
      </c>
      <c r="D164" s="146">
        <f>D195*_xlfn.XLOOKUP(B228,input!$A:$A,input!$C:$C,0)*D122*D174/365*1000/D13</f>
        <v>2.1054203937890974</v>
      </c>
    </row>
    <row r="165" spans="2:5" x14ac:dyDescent="0.35">
      <c r="B165" s="66"/>
      <c r="C165" s="66"/>
      <c r="D165" s="128"/>
    </row>
    <row r="166" spans="2:5" x14ac:dyDescent="0.35">
      <c r="B166" s="66" t="s">
        <v>118</v>
      </c>
      <c r="C166" s="66"/>
      <c r="D166" s="146">
        <f>D13</f>
        <v>4913500</v>
      </c>
    </row>
    <row r="167" spans="2:5" x14ac:dyDescent="0.35">
      <c r="B167" s="66"/>
      <c r="C167" s="66"/>
      <c r="D167" s="128"/>
    </row>
    <row r="168" spans="2:5" x14ac:dyDescent="0.35">
      <c r="B168" s="21" t="s">
        <v>119</v>
      </c>
      <c r="C168" s="66"/>
      <c r="D168" s="128"/>
    </row>
    <row r="169" spans="2:5" x14ac:dyDescent="0.35">
      <c r="B169" s="20" t="s">
        <v>120</v>
      </c>
      <c r="C169" s="66"/>
      <c r="D169" s="128"/>
    </row>
    <row r="170" spans="2:5" x14ac:dyDescent="0.35">
      <c r="B170" s="66" t="s">
        <v>495</v>
      </c>
      <c r="C170" s="71" t="s">
        <v>123</v>
      </c>
      <c r="D170" s="146">
        <f>22/7*0.5*0.5</f>
        <v>0.7857142857142857</v>
      </c>
      <c r="E170" s="61" t="s">
        <v>498</v>
      </c>
    </row>
    <row r="171" spans="2:5" x14ac:dyDescent="0.35">
      <c r="B171" s="66" t="s">
        <v>497</v>
      </c>
      <c r="C171" s="71" t="s">
        <v>121</v>
      </c>
      <c r="D171" s="146">
        <v>0.5</v>
      </c>
    </row>
    <row r="172" spans="2:5" x14ac:dyDescent="0.35">
      <c r="B172" s="66" t="s">
        <v>496</v>
      </c>
      <c r="C172" s="71" t="s">
        <v>45</v>
      </c>
      <c r="D172" s="146">
        <f>D13*D174/330*material!D38/10^6/D171</f>
        <v>56.06522374090909</v>
      </c>
      <c r="E172" s="135"/>
    </row>
    <row r="173" spans="2:5" x14ac:dyDescent="0.35">
      <c r="B173" s="66" t="s">
        <v>122</v>
      </c>
      <c r="C173" s="71" t="s">
        <v>123</v>
      </c>
      <c r="D173" s="146">
        <f>D172*D170+5</f>
        <v>49.051247224999997</v>
      </c>
    </row>
    <row r="174" spans="2:5" x14ac:dyDescent="0.35">
      <c r="B174" s="66" t="s">
        <v>84</v>
      </c>
      <c r="C174" s="71" t="s">
        <v>85</v>
      </c>
      <c r="D174" s="158">
        <v>10</v>
      </c>
    </row>
    <row r="175" spans="2:5" x14ac:dyDescent="0.35">
      <c r="B175" s="66" t="s">
        <v>124</v>
      </c>
      <c r="C175" s="71" t="s">
        <v>121</v>
      </c>
      <c r="D175" s="146">
        <f>D171*D172</f>
        <v>28.032611870454545</v>
      </c>
    </row>
    <row r="176" spans="2:5" x14ac:dyDescent="0.35">
      <c r="B176" s="66" t="s">
        <v>125</v>
      </c>
      <c r="C176" s="71" t="s">
        <v>123</v>
      </c>
      <c r="D176" s="146">
        <f>D173</f>
        <v>49.051247224999997</v>
      </c>
    </row>
    <row r="177" spans="2:5" x14ac:dyDescent="0.35">
      <c r="B177" s="66"/>
      <c r="C177" s="66"/>
      <c r="D177" s="128"/>
    </row>
    <row r="178" spans="2:5" x14ac:dyDescent="0.35">
      <c r="B178" s="23" t="s">
        <v>126</v>
      </c>
      <c r="C178" s="66"/>
      <c r="D178" s="128"/>
    </row>
    <row r="179" spans="2:5" x14ac:dyDescent="0.35">
      <c r="B179" s="66" t="s">
        <v>127</v>
      </c>
      <c r="C179" s="66" t="s">
        <v>42</v>
      </c>
      <c r="D179" s="146">
        <f>material!D38</f>
        <v>188.27235000000002</v>
      </c>
    </row>
    <row r="180" spans="2:5" x14ac:dyDescent="0.35">
      <c r="B180" s="66" t="s">
        <v>10</v>
      </c>
      <c r="C180" s="71" t="str">
        <f>input!$C$5&amp;" / 1000 pcs"</f>
        <v>INR / 1000 pcs</v>
      </c>
      <c r="D180" s="146">
        <f>material!D44</f>
        <v>9461.6804873231922</v>
      </c>
    </row>
    <row r="181" spans="2:5" x14ac:dyDescent="0.35">
      <c r="B181" s="66" t="s">
        <v>11</v>
      </c>
      <c r="C181" s="71" t="str">
        <f>input!$C$5&amp;" / 1000 pcs"</f>
        <v>INR / 1000 pcs</v>
      </c>
      <c r="D181" s="146">
        <f>SUM(D115,D119,D133,D151,D153,D155)</f>
        <v>1720.78560618095</v>
      </c>
      <c r="E181" s="135"/>
    </row>
    <row r="182" spans="2:5" x14ac:dyDescent="0.35">
      <c r="B182" s="66"/>
      <c r="C182" s="66"/>
      <c r="D182" s="128"/>
    </row>
    <row r="183" spans="2:5" x14ac:dyDescent="0.35">
      <c r="B183" s="21" t="s">
        <v>128</v>
      </c>
      <c r="C183" s="66"/>
      <c r="D183" s="128"/>
    </row>
    <row r="184" spans="2:5" x14ac:dyDescent="0.35">
      <c r="B184" s="66" t="s">
        <v>129</v>
      </c>
      <c r="C184" s="71" t="s">
        <v>130</v>
      </c>
      <c r="D184" s="146" t="s">
        <v>131</v>
      </c>
    </row>
    <row r="185" spans="2:5" x14ac:dyDescent="0.35">
      <c r="B185" s="66" t="s">
        <v>132</v>
      </c>
      <c r="C185" s="71" t="s">
        <v>45</v>
      </c>
      <c r="D185" s="146">
        <v>20</v>
      </c>
    </row>
    <row r="186" spans="2:5" x14ac:dyDescent="0.35">
      <c r="B186" s="66" t="s">
        <v>133</v>
      </c>
      <c r="C186" s="71" t="s">
        <v>45</v>
      </c>
      <c r="D186" s="146">
        <v>10</v>
      </c>
    </row>
    <row r="187" spans="2:5" x14ac:dyDescent="0.35">
      <c r="B187" s="66" t="s">
        <v>134</v>
      </c>
      <c r="C187" s="71" t="s">
        <v>45</v>
      </c>
      <c r="D187" s="146">
        <f>D185*D186</f>
        <v>200</v>
      </c>
    </row>
    <row r="188" spans="2:5" x14ac:dyDescent="0.35">
      <c r="B188" s="66" t="s">
        <v>135</v>
      </c>
      <c r="C188" s="71" t="s">
        <v>123</v>
      </c>
      <c r="D188" s="146">
        <f>2.5*1+4</f>
        <v>6.5</v>
      </c>
    </row>
    <row r="189" spans="2:5" x14ac:dyDescent="0.35">
      <c r="B189" s="66" t="s">
        <v>525</v>
      </c>
      <c r="C189" s="71" t="s">
        <v>45</v>
      </c>
      <c r="D189" s="146">
        <f>_xlfn.XLOOKUP(B189,input!$A:$A,input!$C:$C,0)</f>
        <v>20</v>
      </c>
    </row>
    <row r="190" spans="2:5" x14ac:dyDescent="0.35">
      <c r="B190" s="66" t="s">
        <v>136</v>
      </c>
      <c r="C190" s="71" t="s">
        <v>45</v>
      </c>
      <c r="D190" s="146">
        <f>D187*D189</f>
        <v>4000</v>
      </c>
    </row>
    <row r="191" spans="2:5" x14ac:dyDescent="0.35">
      <c r="B191" s="66" t="s">
        <v>86</v>
      </c>
      <c r="C191" s="71" t="s">
        <v>85</v>
      </c>
      <c r="D191" s="158">
        <v>3</v>
      </c>
    </row>
    <row r="192" spans="2:5" x14ac:dyDescent="0.35">
      <c r="B192" s="66" t="s">
        <v>137</v>
      </c>
      <c r="C192" s="71" t="s">
        <v>45</v>
      </c>
      <c r="D192" s="146">
        <f>D166*D191/365</f>
        <v>40384.931506849316</v>
      </c>
    </row>
    <row r="193" spans="2:12" x14ac:dyDescent="0.35">
      <c r="B193" s="66" t="s">
        <v>138</v>
      </c>
      <c r="C193" s="71" t="s">
        <v>123</v>
      </c>
      <c r="D193" s="146">
        <f>D192/D190*D188</f>
        <v>65.62551369863013</v>
      </c>
    </row>
    <row r="194" spans="2:12" x14ac:dyDescent="0.35">
      <c r="B194" s="66"/>
      <c r="C194" s="66"/>
      <c r="D194" s="128"/>
    </row>
    <row r="195" spans="2:12" x14ac:dyDescent="0.35">
      <c r="B195" s="66" t="s">
        <v>139</v>
      </c>
      <c r="C195" s="66"/>
      <c r="D195" s="146">
        <f>D176+D193</f>
        <v>114.67676092363013</v>
      </c>
    </row>
    <row r="196" spans="2:12" x14ac:dyDescent="0.35">
      <c r="B196" s="66"/>
      <c r="C196" s="66"/>
      <c r="D196" s="128"/>
    </row>
    <row r="197" spans="2:12" x14ac:dyDescent="0.35">
      <c r="F197" s="140"/>
    </row>
    <row r="198" spans="2:12" x14ac:dyDescent="0.35">
      <c r="B198" s="11" t="s">
        <v>24</v>
      </c>
    </row>
    <row r="199" spans="2:12" x14ac:dyDescent="0.35">
      <c r="B199" s="74" t="s">
        <v>78</v>
      </c>
      <c r="C199" s="74"/>
      <c r="D199" s="141">
        <f>_xlfn.XLOOKUP(B199,input!$A:$A,input!$C:$C,0)</f>
        <v>3</v>
      </c>
      <c r="E199" s="74"/>
      <c r="F199" s="74"/>
      <c r="G199" s="74"/>
      <c r="H199" s="74"/>
      <c r="I199" s="74"/>
      <c r="J199" s="74"/>
    </row>
    <row r="200" spans="2:12" x14ac:dyDescent="0.35">
      <c r="B200" s="74" t="s">
        <v>258</v>
      </c>
      <c r="C200" s="74"/>
      <c r="D200" s="174">
        <f>D39</f>
        <v>1.8094749579124578E-2</v>
      </c>
      <c r="E200" s="175">
        <f>D52</f>
        <v>3.877446338383838E-2</v>
      </c>
      <c r="F200" s="175">
        <f>D87</f>
        <v>1.7246247194163858E-2</v>
      </c>
      <c r="G200" s="175">
        <f>D87</f>
        <v>1.7246247194163858E-2</v>
      </c>
      <c r="H200" s="175">
        <f>D100</f>
        <v>1.5615004208754205E-2</v>
      </c>
      <c r="I200" s="74"/>
      <c r="J200" s="74"/>
    </row>
    <row r="201" spans="2:12" x14ac:dyDescent="0.35">
      <c r="B201" s="13" t="s">
        <v>1</v>
      </c>
      <c r="C201" s="13" t="s">
        <v>91</v>
      </c>
      <c r="D201" s="13" t="s">
        <v>328</v>
      </c>
      <c r="E201" s="13" t="s">
        <v>329</v>
      </c>
      <c r="F201" s="13" t="s">
        <v>330</v>
      </c>
      <c r="G201" s="13" t="s">
        <v>331</v>
      </c>
      <c r="H201" s="13" t="s">
        <v>332</v>
      </c>
      <c r="I201" s="13" t="s">
        <v>141</v>
      </c>
      <c r="J201" s="13" t="s">
        <v>9</v>
      </c>
    </row>
    <row r="202" spans="2:12" x14ac:dyDescent="0.35">
      <c r="B202" s="20" t="s">
        <v>113</v>
      </c>
      <c r="C202" s="66"/>
      <c r="D202" s="70"/>
      <c r="E202" s="70"/>
      <c r="F202" s="66"/>
      <c r="G202" s="66"/>
      <c r="H202" s="66"/>
      <c r="I202" s="70"/>
      <c r="J202" s="66"/>
    </row>
    <row r="203" spans="2:12" x14ac:dyDescent="0.35">
      <c r="B203" s="66" t="s">
        <v>48</v>
      </c>
      <c r="C203" s="66" t="str">
        <f>input!$C$5</f>
        <v>INR</v>
      </c>
      <c r="D203" s="146">
        <v>3</v>
      </c>
      <c r="E203" s="146">
        <v>1</v>
      </c>
      <c r="F203" s="146">
        <v>1</v>
      </c>
      <c r="G203" s="146">
        <v>1</v>
      </c>
      <c r="H203" s="146">
        <v>1</v>
      </c>
      <c r="I203" s="146">
        <f>_xlfn.XLOOKUP($B203,input!$A:$A,input!$C:$C)*SUMPRODUCT($D$200:$H$200,$D203:$H203)*$D$199</f>
        <v>232702.35890151511</v>
      </c>
      <c r="J203" s="146"/>
      <c r="K203" s="9" t="s">
        <v>143</v>
      </c>
      <c r="L203" s="135"/>
    </row>
    <row r="204" spans="2:12" x14ac:dyDescent="0.35">
      <c r="B204" s="66" t="s">
        <v>144</v>
      </c>
      <c r="C204" s="66" t="str">
        <f>input!$C$5</f>
        <v>INR</v>
      </c>
      <c r="D204" s="146">
        <v>5</v>
      </c>
      <c r="E204" s="146">
        <v>2</v>
      </c>
      <c r="F204" s="146">
        <v>2</v>
      </c>
      <c r="G204" s="146">
        <v>2</v>
      </c>
      <c r="H204" s="146">
        <v>2</v>
      </c>
      <c r="I204" s="146">
        <f>_xlfn.XLOOKUP($B203,input!$A:$A,input!$C:$C)*SUMPRODUCT($D$200:$H$200,$D204:$H204)*$D$199</f>
        <v>435993.51183712122</v>
      </c>
      <c r="J204" s="146"/>
      <c r="K204" s="9" t="s">
        <v>145</v>
      </c>
      <c r="L204" s="135"/>
    </row>
    <row r="205" spans="2:12" x14ac:dyDescent="0.35">
      <c r="B205" s="66" t="s">
        <v>49</v>
      </c>
      <c r="C205" s="66" t="str">
        <f>input!$C$5</f>
        <v>INR</v>
      </c>
      <c r="D205" s="146">
        <f>1/5</f>
        <v>0.2</v>
      </c>
      <c r="E205" s="146">
        <f>1/5</f>
        <v>0.2</v>
      </c>
      <c r="F205" s="146">
        <f>1/5</f>
        <v>0.2</v>
      </c>
      <c r="G205" s="146">
        <f>1/5</f>
        <v>0.2</v>
      </c>
      <c r="H205" s="146">
        <f>1/5</f>
        <v>0.2</v>
      </c>
      <c r="I205" s="146">
        <f>_xlfn.XLOOKUP($B205,input!$A:$A,input!$C:$C)*SUMPRODUCT($D$200:$H$200,$D205:$H205)*$D$199</f>
        <v>80874.393939393922</v>
      </c>
      <c r="J205" s="146"/>
      <c r="K205" s="9" t="s">
        <v>146</v>
      </c>
    </row>
    <row r="206" spans="2:12" x14ac:dyDescent="0.35">
      <c r="B206" s="66" t="s">
        <v>50</v>
      </c>
      <c r="C206" s="66" t="str">
        <f>input!$C$5</f>
        <v>INR</v>
      </c>
      <c r="D206" s="146">
        <f>1*2</f>
        <v>2</v>
      </c>
      <c r="E206" s="146"/>
      <c r="F206" s="146"/>
      <c r="G206" s="146"/>
      <c r="H206" s="146"/>
      <c r="I206" s="146">
        <f>_xlfn.XLOOKUP($B206,input!$A:$A,input!$C:$C)*SUMPRODUCT($D$200:$H$200,$D206:$H206)</f>
        <v>68398.153409090912</v>
      </c>
      <c r="J206" s="146"/>
      <c r="K206" s="9" t="s">
        <v>147</v>
      </c>
    </row>
    <row r="207" spans="2:12" x14ac:dyDescent="0.35">
      <c r="B207" s="66" t="s">
        <v>9</v>
      </c>
      <c r="C207" s="66" t="str">
        <f>input!$C$5</f>
        <v>INR</v>
      </c>
      <c r="D207" s="146"/>
      <c r="E207" s="146"/>
      <c r="F207" s="146"/>
      <c r="G207" s="146"/>
      <c r="H207" s="146"/>
      <c r="I207" s="146">
        <f>SUM(I203:I206)</f>
        <v>817968.41808712122</v>
      </c>
      <c r="J207" s="146">
        <f>SUM(J203:J206)</f>
        <v>0</v>
      </c>
    </row>
    <row r="208" spans="2:12" x14ac:dyDescent="0.35">
      <c r="B208" s="66" t="s">
        <v>148</v>
      </c>
      <c r="C208" s="66"/>
      <c r="D208" s="146"/>
      <c r="E208" s="146"/>
      <c r="F208" s="146"/>
      <c r="G208" s="146"/>
      <c r="H208" s="146"/>
      <c r="I208" s="146"/>
      <c r="J208" s="146"/>
    </row>
    <row r="209" spans="1:7" x14ac:dyDescent="0.35">
      <c r="B209" s="142"/>
      <c r="C209" s="142"/>
      <c r="D209" s="143"/>
      <c r="E209" s="144"/>
    </row>
    <row r="210" spans="1:7" x14ac:dyDescent="0.35">
      <c r="B210" s="20" t="s">
        <v>149</v>
      </c>
      <c r="C210" s="66"/>
      <c r="D210" s="141" t="s">
        <v>140</v>
      </c>
      <c r="E210" s="145" t="s">
        <v>142</v>
      </c>
    </row>
    <row r="211" spans="1:7" x14ac:dyDescent="0.35">
      <c r="A211" s="39" t="s">
        <v>48</v>
      </c>
      <c r="B211" s="66" t="s">
        <v>150</v>
      </c>
      <c r="C211" s="66" t="str">
        <f>input!$C$5</f>
        <v>INR</v>
      </c>
      <c r="D211" s="146">
        <v>1</v>
      </c>
      <c r="E211" s="146">
        <f>D211*_xlfn.XLOOKUP(A211,input!$A:$A,input!$C:$C,0)</f>
        <v>541800</v>
      </c>
    </row>
    <row r="212" spans="1:7" x14ac:dyDescent="0.35">
      <c r="A212" s="39" t="s">
        <v>48</v>
      </c>
      <c r="B212" s="66" t="s">
        <v>151</v>
      </c>
      <c r="C212" s="66" t="str">
        <f>input!$C$5</f>
        <v>INR</v>
      </c>
      <c r="D212" s="146">
        <v>1</v>
      </c>
      <c r="E212" s="146">
        <f>D212*_xlfn.XLOOKUP(A212,input!$A:$A,input!$C:$C,0)</f>
        <v>541800</v>
      </c>
    </row>
    <row r="213" spans="1:7" x14ac:dyDescent="0.35">
      <c r="A213" s="39" t="s">
        <v>48</v>
      </c>
      <c r="B213" s="66" t="s">
        <v>152</v>
      </c>
      <c r="C213" s="66" t="str">
        <f>input!$C$5</f>
        <v>INR</v>
      </c>
      <c r="D213" s="146">
        <v>1</v>
      </c>
      <c r="E213" s="146">
        <f>D213*_xlfn.XLOOKUP(A213,input!$A:$A,input!$C:$C,0)</f>
        <v>541800</v>
      </c>
    </row>
    <row r="214" spans="1:7" x14ac:dyDescent="0.35">
      <c r="A214" s="39" t="s">
        <v>48</v>
      </c>
      <c r="B214" s="66" t="s">
        <v>153</v>
      </c>
      <c r="C214" s="66" t="str">
        <f>input!$C$5</f>
        <v>INR</v>
      </c>
      <c r="D214" s="146">
        <v>1</v>
      </c>
      <c r="E214" s="146">
        <f>D214*_xlfn.XLOOKUP(A214,input!$A:$A,input!$C:$C,0)</f>
        <v>541800</v>
      </c>
    </row>
    <row r="215" spans="1:7" x14ac:dyDescent="0.35">
      <c r="A215" s="39" t="s">
        <v>48</v>
      </c>
      <c r="B215" s="66" t="s">
        <v>154</v>
      </c>
      <c r="C215" s="66" t="str">
        <f>input!$C$5</f>
        <v>INR</v>
      </c>
      <c r="D215" s="146">
        <v>1</v>
      </c>
      <c r="E215" s="146">
        <f>D215*_xlfn.XLOOKUP(A215,input!$A:$A,input!$C:$C,0)</f>
        <v>541800</v>
      </c>
    </row>
    <row r="216" spans="1:7" x14ac:dyDescent="0.35">
      <c r="A216" s="39" t="s">
        <v>48</v>
      </c>
      <c r="B216" s="66" t="s">
        <v>155</v>
      </c>
      <c r="C216" s="66" t="str">
        <f>input!$C$5</f>
        <v>INR</v>
      </c>
      <c r="D216" s="146">
        <v>2</v>
      </c>
      <c r="E216" s="146">
        <f>D216*_xlfn.XLOOKUP(A216,input!$A:$A,input!$C:$C,0)</f>
        <v>1083600</v>
      </c>
    </row>
    <row r="217" spans="1:7" x14ac:dyDescent="0.35">
      <c r="A217" s="39" t="s">
        <v>48</v>
      </c>
      <c r="B217" s="66" t="s">
        <v>156</v>
      </c>
      <c r="C217" s="66" t="str">
        <f>input!$C$5</f>
        <v>INR</v>
      </c>
      <c r="D217" s="146">
        <v>9</v>
      </c>
      <c r="E217" s="146">
        <f>D217*_xlfn.XLOOKUP(A217,input!$A:$A,input!$C:$C,0)*70%</f>
        <v>3413340</v>
      </c>
      <c r="F217" s="61" t="s">
        <v>157</v>
      </c>
      <c r="G217" s="135"/>
    </row>
    <row r="218" spans="1:7" x14ac:dyDescent="0.35">
      <c r="A218" s="39" t="s">
        <v>48</v>
      </c>
      <c r="B218" s="66" t="s">
        <v>158</v>
      </c>
      <c r="C218" s="66" t="str">
        <f>input!$C$5</f>
        <v>INR</v>
      </c>
      <c r="D218" s="146">
        <v>9</v>
      </c>
      <c r="E218" s="146">
        <f>D218*_xlfn.XLOOKUP(A218,input!$A:$A,input!$C:$C,0)*70%</f>
        <v>3413340</v>
      </c>
      <c r="F218" s="61" t="s">
        <v>157</v>
      </c>
    </row>
    <row r="219" spans="1:7" x14ac:dyDescent="0.35">
      <c r="A219" s="39" t="s">
        <v>48</v>
      </c>
      <c r="B219" s="66" t="s">
        <v>159</v>
      </c>
      <c r="C219" s="66" t="str">
        <f>input!$C$5</f>
        <v>INR</v>
      </c>
      <c r="D219" s="146">
        <v>9</v>
      </c>
      <c r="E219" s="146">
        <f>D219*_xlfn.XLOOKUP(A219,input!$A:$A,input!$C:$C,0)*70%</f>
        <v>3413340</v>
      </c>
      <c r="F219" s="61" t="s">
        <v>157</v>
      </c>
    </row>
    <row r="220" spans="1:7" x14ac:dyDescent="0.35">
      <c r="A220" s="39" t="s">
        <v>50</v>
      </c>
      <c r="B220" s="66" t="s">
        <v>160</v>
      </c>
      <c r="C220" s="66" t="str">
        <f>input!$C$5</f>
        <v>INR</v>
      </c>
      <c r="D220" s="146">
        <v>1</v>
      </c>
      <c r="E220" s="146">
        <f>D220*_xlfn.XLOOKUP(A220,input!$A:$A,input!$C:$C,0)</f>
        <v>1890000</v>
      </c>
    </row>
    <row r="221" spans="1:7" x14ac:dyDescent="0.35">
      <c r="B221" s="66" t="s">
        <v>9</v>
      </c>
      <c r="C221" s="66" t="str">
        <f>input!$C$5</f>
        <v>INR</v>
      </c>
      <c r="D221" s="146"/>
      <c r="E221" s="146">
        <f>SUM(E211:E220)</f>
        <v>15922620</v>
      </c>
      <c r="G221" s="87"/>
    </row>
    <row r="223" spans="1:7" x14ac:dyDescent="0.35">
      <c r="B223" s="11" t="s">
        <v>161</v>
      </c>
    </row>
    <row r="224" spans="1:7" x14ac:dyDescent="0.35">
      <c r="B224" s="13" t="s">
        <v>1</v>
      </c>
      <c r="C224" s="13" t="s">
        <v>91</v>
      </c>
      <c r="D224" s="25" t="s">
        <v>162</v>
      </c>
      <c r="E224" s="25" t="str">
        <f>input!$C$5&amp;" / 1000 pcs"</f>
        <v>INR / 1000 pcs</v>
      </c>
    </row>
    <row r="225" spans="2:7" x14ac:dyDescent="0.35">
      <c r="B225" s="66" t="s">
        <v>61</v>
      </c>
      <c r="C225" s="66"/>
      <c r="D225" s="146" t="str">
        <f>_xlfn.XLOOKUP($B225,input!$A:$A,input!C:C)</f>
        <v>Owned</v>
      </c>
      <c r="E225" s="128"/>
    </row>
    <row r="226" spans="2:7" x14ac:dyDescent="0.35">
      <c r="B226" s="66" t="s">
        <v>163</v>
      </c>
      <c r="C226" s="66" t="s">
        <v>123</v>
      </c>
      <c r="D226" s="146">
        <f>backup!C17</f>
        <v>209.66215340180284</v>
      </c>
      <c r="E226" s="128"/>
    </row>
    <row r="227" spans="2:7" x14ac:dyDescent="0.35">
      <c r="B227" s="66" t="s">
        <v>164</v>
      </c>
      <c r="C227" s="66" t="s">
        <v>123</v>
      </c>
      <c r="D227" s="146">
        <f>backup!C15</f>
        <v>146.76350738126197</v>
      </c>
      <c r="E227" s="128"/>
    </row>
    <row r="228" spans="2:7" x14ac:dyDescent="0.35">
      <c r="B228" s="66" t="s">
        <v>58</v>
      </c>
      <c r="C228" s="66" t="str">
        <f>input!$C$5</f>
        <v>INR</v>
      </c>
      <c r="D228" s="146">
        <f>IF($D$225="Owned",_xlfn.XLOOKUP(B228,input!A:A,input!C:C,0)*conversion!D226,IF(conversion!$D$225="Leased",0))</f>
        <v>4931048.0997701576</v>
      </c>
      <c r="E228" s="128"/>
    </row>
    <row r="229" spans="2:7" x14ac:dyDescent="0.35">
      <c r="B229" s="66" t="s">
        <v>579</v>
      </c>
      <c r="C229" s="66" t="str">
        <f>input!$C$5</f>
        <v>INR</v>
      </c>
      <c r="D229" s="146">
        <f>IF($D$225="Owned",_xlfn.XLOOKUP(B229,input!A:A,input!C:C,0)*conversion!D227,IF(conversion!$D$225="Leased",0))</f>
        <v>1027344.5516688338</v>
      </c>
      <c r="E229" s="128"/>
    </row>
    <row r="230" spans="2:7" x14ac:dyDescent="0.35">
      <c r="B230" s="66" t="s">
        <v>97</v>
      </c>
      <c r="C230" s="66" t="str">
        <f>input!$C$5</f>
        <v>INR</v>
      </c>
      <c r="D230" s="146">
        <f>backup!E29*D226/backup!$C$113</f>
        <v>2214596.408120824</v>
      </c>
      <c r="E230" s="128"/>
    </row>
    <row r="231" spans="2:7" x14ac:dyDescent="0.35">
      <c r="B231" s="66" t="s">
        <v>60</v>
      </c>
      <c r="C231" s="66" t="s">
        <v>35</v>
      </c>
      <c r="D231" s="146">
        <f>IF($D$225="Owned",0,IF($D$225="Leased",D227*_xlfn.XLOOKUP(B231,input!A:A,input!C:C,0)))</f>
        <v>0</v>
      </c>
      <c r="E231" s="128"/>
    </row>
    <row r="232" spans="2:7" x14ac:dyDescent="0.35">
      <c r="B232" s="66" t="s">
        <v>9</v>
      </c>
      <c r="C232" s="66" t="str">
        <f>input!$C$5</f>
        <v>INR</v>
      </c>
      <c r="D232" s="146">
        <f>SUM(D228:D231)</f>
        <v>8172989.0595598156</v>
      </c>
      <c r="E232" s="128"/>
    </row>
    <row r="233" spans="2:7" x14ac:dyDescent="0.35">
      <c r="B233" s="66"/>
      <c r="C233" s="66"/>
      <c r="D233" s="128"/>
      <c r="E233" s="128"/>
    </row>
    <row r="234" spans="2:7" x14ac:dyDescent="0.35">
      <c r="B234" s="66" t="s">
        <v>18</v>
      </c>
      <c r="C234" s="66" t="str">
        <f>input!$C$5</f>
        <v>INR</v>
      </c>
      <c r="D234" s="146">
        <f>VLOOKUP(D113,Dep_Sch_Others,COLUMNS($A$368:$D$402),0)</f>
        <v>64033.872233242568</v>
      </c>
      <c r="E234" s="154">
        <f>D234*1000/$D$13</f>
        <v>13.032232061309163</v>
      </c>
    </row>
    <row r="235" spans="2:7" x14ac:dyDescent="0.35">
      <c r="B235" s="66" t="s">
        <v>64</v>
      </c>
      <c r="C235" s="66" t="str">
        <f>input!$C$5</f>
        <v>INR</v>
      </c>
      <c r="D235" s="146">
        <f>VLOOKUP(D113,Interest_Sch_Others,COLUMNS($A$407:$D$464),0)</f>
        <v>545350.48104912729</v>
      </c>
      <c r="E235" s="146">
        <f>D235*1000/$D$13</f>
        <v>110.99022713933599</v>
      </c>
    </row>
    <row r="236" spans="2:7" x14ac:dyDescent="0.35">
      <c r="B236" s="66" t="s">
        <v>60</v>
      </c>
      <c r="C236" s="66" t="str">
        <f>input!$C$5</f>
        <v>INR</v>
      </c>
      <c r="D236" s="146">
        <f>D231</f>
        <v>0</v>
      </c>
      <c r="E236" s="146">
        <f>D236*1000/$D$13</f>
        <v>0</v>
      </c>
    </row>
    <row r="237" spans="2:7" x14ac:dyDescent="0.35">
      <c r="B237" s="66" t="s">
        <v>149</v>
      </c>
      <c r="C237" s="66" t="str">
        <f>input!$C$5</f>
        <v>INR</v>
      </c>
      <c r="D237" s="146">
        <f>E221*D149/input!C99</f>
        <v>1471465.7626578279</v>
      </c>
      <c r="E237" s="146">
        <f>D237*1000/$D$13</f>
        <v>299.47405365988152</v>
      </c>
      <c r="G237" s="227"/>
    </row>
    <row r="238" spans="2:7" x14ac:dyDescent="0.35">
      <c r="B238" s="66" t="s">
        <v>16</v>
      </c>
      <c r="C238" s="66" t="str">
        <f>input!$C$5</f>
        <v>INR</v>
      </c>
      <c r="D238" s="146">
        <f>SUM(D229:D230)*_xlfn.XLOOKUP(B238,input!$A:$A,input!$C:$C,0)</f>
        <v>81048.523994741452</v>
      </c>
      <c r="E238" s="146">
        <f>D238*1000/$D$13</f>
        <v>16.495069501321147</v>
      </c>
    </row>
    <row r="239" spans="2:7" x14ac:dyDescent="0.35">
      <c r="B239" s="66"/>
      <c r="C239" s="66"/>
      <c r="D239" s="128"/>
    </row>
    <row r="240" spans="2:7" x14ac:dyDescent="0.35">
      <c r="B240" s="66" t="s">
        <v>165</v>
      </c>
      <c r="C240" s="66" t="str">
        <f>input!$C$5</f>
        <v>INR</v>
      </c>
      <c r="D240" s="146">
        <f>SUM(D234:D238)</f>
        <v>2161898.6399349393</v>
      </c>
    </row>
    <row r="241" spans="2:7" x14ac:dyDescent="0.35">
      <c r="B241" s="66" t="s">
        <v>60</v>
      </c>
      <c r="C241" s="21" t="str">
        <f>input!$C$5&amp;" / 1000 pcs"</f>
        <v>INR / 1000 pcs</v>
      </c>
      <c r="D241" s="159">
        <f>D231*1000/D13</f>
        <v>0</v>
      </c>
    </row>
    <row r="243" spans="2:7" x14ac:dyDescent="0.35">
      <c r="B243" s="13" t="s">
        <v>1</v>
      </c>
      <c r="C243" s="13" t="s">
        <v>91</v>
      </c>
      <c r="D243" s="25"/>
    </row>
    <row r="244" spans="2:7" x14ac:dyDescent="0.35">
      <c r="B244" s="195" t="s">
        <v>166</v>
      </c>
      <c r="C244" s="66"/>
      <c r="D244" s="131"/>
    </row>
    <row r="245" spans="2:7" x14ac:dyDescent="0.35">
      <c r="B245" s="197" t="s">
        <v>525</v>
      </c>
      <c r="C245" s="194" t="s">
        <v>45</v>
      </c>
      <c r="D245" s="146">
        <f>_xlfn.XLOOKUP(B245,input!$A:$A,input!$C:$C,0)</f>
        <v>20</v>
      </c>
    </row>
    <row r="246" spans="2:7" x14ac:dyDescent="0.35">
      <c r="B246" s="197" t="s">
        <v>524</v>
      </c>
      <c r="C246" s="194" t="str">
        <f>input!$C$5</f>
        <v>INR</v>
      </c>
      <c r="D246" s="146">
        <f>_xlfn.XLOOKUP(B246,backup!$B:$B,backup!$F:$F,0)</f>
        <v>3.1280999999999999</v>
      </c>
    </row>
    <row r="247" spans="2:7" x14ac:dyDescent="0.35">
      <c r="B247" s="196" t="s">
        <v>71</v>
      </c>
      <c r="C247" s="66" t="str">
        <f>input!$C$5</f>
        <v>INR</v>
      </c>
      <c r="D247" s="146">
        <f>_xlfn.XLOOKUP(B247,backup!$B:$B,backup!$F:$F,0)</f>
        <v>0</v>
      </c>
    </row>
    <row r="248" spans="2:7" x14ac:dyDescent="0.35">
      <c r="B248" s="21" t="s">
        <v>167</v>
      </c>
      <c r="C248" s="21" t="str">
        <f>input!$C$5&amp;" / 1000 pcs"</f>
        <v>INR / 1000 pcs</v>
      </c>
      <c r="D248" s="146">
        <f>(SUM(D246:D247)*1000/D245)</f>
        <v>156.405</v>
      </c>
    </row>
    <row r="249" spans="2:7" x14ac:dyDescent="0.35">
      <c r="B249" s="66"/>
      <c r="C249" s="66"/>
      <c r="D249" s="131"/>
    </row>
    <row r="250" spans="2:7" x14ac:dyDescent="0.35">
      <c r="B250" s="20" t="s">
        <v>168</v>
      </c>
      <c r="C250" s="66"/>
      <c r="D250" s="131"/>
    </row>
    <row r="251" spans="2:7" x14ac:dyDescent="0.35">
      <c r="B251" s="66" t="s">
        <v>70</v>
      </c>
      <c r="C251" s="66" t="s">
        <v>45</v>
      </c>
      <c r="D251" s="146">
        <f>_xlfn.XLOOKUP(B251,input!$A:$A,input!$C:$C,0)</f>
        <v>8000</v>
      </c>
    </row>
    <row r="252" spans="2:7" x14ac:dyDescent="0.35">
      <c r="B252" s="66" t="s">
        <v>76</v>
      </c>
      <c r="C252" s="66" t="str">
        <f>input!$C$5</f>
        <v>INR</v>
      </c>
      <c r="D252" s="146">
        <f>_xlfn.XLOOKUP(B252,input!$A:$A,input!$C:$C,0)</f>
        <v>8000</v>
      </c>
      <c r="G252" s="61">
        <f>8000/3500</f>
        <v>2.2857142857142856</v>
      </c>
    </row>
    <row r="253" spans="2:7" x14ac:dyDescent="0.35">
      <c r="B253" s="21" t="s">
        <v>169</v>
      </c>
      <c r="C253" s="21" t="str">
        <f>input!$C$5&amp;" / 1000 pcs"</f>
        <v>INR / 1000 pcs</v>
      </c>
      <c r="D253" s="146">
        <f>D252*1000/D251</f>
        <v>1000</v>
      </c>
    </row>
    <row r="256" spans="2:7" x14ac:dyDescent="0.35">
      <c r="B256" s="11" t="s">
        <v>65</v>
      </c>
    </row>
    <row r="257" spans="2:8" x14ac:dyDescent="0.35">
      <c r="B257" s="66" t="s">
        <v>10</v>
      </c>
      <c r="C257" s="66" t="str">
        <f>input!$C$5&amp;" /000"</f>
        <v>INR /000</v>
      </c>
      <c r="D257" s="146">
        <f>summary!B5</f>
        <v>9461.6804873231922</v>
      </c>
    </row>
    <row r="258" spans="2:8" x14ac:dyDescent="0.35">
      <c r="B258" s="66" t="s">
        <v>11</v>
      </c>
      <c r="C258" s="66" t="str">
        <f>input!$C$5&amp;" /000"</f>
        <v>INR /000</v>
      </c>
      <c r="D258" s="146">
        <f>D153+D151+E237+D129+D133+E236+D115+E234+D119+E235</f>
        <v>1777.4413748441652</v>
      </c>
    </row>
    <row r="259" spans="2:8" x14ac:dyDescent="0.35">
      <c r="B259" s="66" t="str">
        <f>input!A110</f>
        <v>RM Payment term</v>
      </c>
      <c r="C259" s="66" t="s">
        <v>89</v>
      </c>
      <c r="D259" s="146">
        <f>_xlfn.XLOOKUP(B259,input!$A:$A,input!$C:$C,0)</f>
        <v>45</v>
      </c>
    </row>
    <row r="260" spans="2:8" x14ac:dyDescent="0.35">
      <c r="B260" s="66" t="str">
        <f>input!A111</f>
        <v>FG Payment term</v>
      </c>
      <c r="C260" s="66" t="s">
        <v>89</v>
      </c>
      <c r="D260" s="146">
        <f>_xlfn.XLOOKUP(B260,input!$A:$A,input!$C:$C,0)</f>
        <v>60</v>
      </c>
    </row>
    <row r="261" spans="2:8" x14ac:dyDescent="0.35">
      <c r="B261" s="66" t="s">
        <v>170</v>
      </c>
      <c r="C261" s="66" t="s">
        <v>89</v>
      </c>
      <c r="D261" s="146">
        <f>D260-D259</f>
        <v>15</v>
      </c>
    </row>
    <row r="262" spans="2:8" x14ac:dyDescent="0.35">
      <c r="B262" s="66" t="str">
        <f>input!A81</f>
        <v>Interest on Working Capital</v>
      </c>
      <c r="C262" s="66" t="s">
        <v>43</v>
      </c>
      <c r="D262" s="147">
        <f>_xlfn.XLOOKUP(B262,input!$A:$A,input!$C:$C,0)</f>
        <v>0.14000000000000001</v>
      </c>
    </row>
    <row r="263" spans="2:8" x14ac:dyDescent="0.35">
      <c r="B263" s="66" t="str">
        <f>B262</f>
        <v>Interest on Working Capital</v>
      </c>
      <c r="C263" s="66" t="str">
        <f>input!$C$5&amp;" /000"</f>
        <v>INR /000</v>
      </c>
      <c r="D263" s="146">
        <f>SUM(D257:D258)*D262*D261/365</f>
        <v>64.663440850825893</v>
      </c>
    </row>
    <row r="266" spans="2:8" x14ac:dyDescent="0.35">
      <c r="B266" s="13" t="s">
        <v>171</v>
      </c>
      <c r="C266" s="13" t="s">
        <v>91</v>
      </c>
      <c r="D266" s="25" t="str">
        <f>D10</f>
        <v>xxxxx</v>
      </c>
    </row>
    <row r="267" spans="2:8" x14ac:dyDescent="0.35">
      <c r="B267" s="13"/>
      <c r="C267" s="13"/>
      <c r="D267" s="25" t="str">
        <f>D11</f>
        <v>Lifeboy 125g</v>
      </c>
    </row>
    <row r="268" spans="2:8" x14ac:dyDescent="0.35">
      <c r="B268" s="66" t="s">
        <v>172</v>
      </c>
      <c r="C268" s="66"/>
      <c r="D268" s="148">
        <f>D111</f>
        <v>14377065.732858006</v>
      </c>
      <c r="E268" s="124"/>
      <c r="F268" s="124"/>
      <c r="G268" s="124"/>
      <c r="H268" s="124"/>
    </row>
    <row r="269" spans="2:8" x14ac:dyDescent="0.35">
      <c r="B269" s="66"/>
      <c r="C269" s="66"/>
      <c r="D269" s="148"/>
      <c r="E269" s="124"/>
      <c r="F269" s="124"/>
      <c r="G269" s="124"/>
      <c r="H269" s="124"/>
    </row>
    <row r="270" spans="2:8" x14ac:dyDescent="0.35">
      <c r="B270" s="66" t="s">
        <v>578</v>
      </c>
      <c r="C270" s="66" t="s">
        <v>43</v>
      </c>
      <c r="D270" s="160">
        <f>_xlfn.XLOOKUP($B270,input!$A:$A,input!C:C)</f>
        <v>0.15</v>
      </c>
      <c r="E270" s="149"/>
      <c r="F270" s="149"/>
      <c r="G270" s="149"/>
      <c r="H270" s="149"/>
    </row>
    <row r="271" spans="2:8" x14ac:dyDescent="0.35">
      <c r="B271" s="66" t="s">
        <v>173</v>
      </c>
      <c r="C271" s="66" t="str">
        <f>input!$C$5</f>
        <v>INR</v>
      </c>
      <c r="D271" s="161">
        <f>D268*5%</f>
        <v>718853.28664290032</v>
      </c>
      <c r="E271" s="124"/>
      <c r="F271" s="124"/>
      <c r="G271" s="124"/>
      <c r="H271" s="124"/>
    </row>
    <row r="272" spans="2:8" x14ac:dyDescent="0.35">
      <c r="B272" s="66" t="s">
        <v>174</v>
      </c>
      <c r="C272" s="66" t="str">
        <f>input!$C$5</f>
        <v>INR</v>
      </c>
      <c r="D272" s="161">
        <f>D268-D271</f>
        <v>13658212.446215106</v>
      </c>
      <c r="E272" s="124"/>
      <c r="F272" s="124"/>
      <c r="G272" s="124"/>
      <c r="H272" s="124"/>
    </row>
    <row r="273" spans="1:8" x14ac:dyDescent="0.35">
      <c r="A273" s="39">
        <v>1</v>
      </c>
      <c r="B273" s="66" t="s">
        <v>175</v>
      </c>
      <c r="C273" s="66" t="str">
        <f>input!$C$5</f>
        <v>INR</v>
      </c>
      <c r="D273" s="161">
        <f>D272*D$270</f>
        <v>2048731.8669322659</v>
      </c>
      <c r="E273" s="124"/>
      <c r="F273" s="124"/>
      <c r="G273" s="124"/>
      <c r="H273" s="124"/>
    </row>
    <row r="274" spans="1:8" x14ac:dyDescent="0.35">
      <c r="B274" s="66" t="s">
        <v>176</v>
      </c>
      <c r="C274" s="66" t="str">
        <f>input!$C$5</f>
        <v>INR</v>
      </c>
      <c r="D274" s="161">
        <f>D272-D273</f>
        <v>11609480.579282841</v>
      </c>
      <c r="E274" s="124"/>
      <c r="F274" s="124"/>
      <c r="G274" s="124"/>
      <c r="H274" s="124"/>
    </row>
    <row r="275" spans="1:8" x14ac:dyDescent="0.35">
      <c r="A275" s="39">
        <f>A273+1</f>
        <v>2</v>
      </c>
      <c r="B275" s="66" t="s">
        <v>177</v>
      </c>
      <c r="C275" s="66" t="str">
        <f>input!$C$5</f>
        <v>INR</v>
      </c>
      <c r="D275" s="161">
        <f>D274*D$270</f>
        <v>1741422.086892426</v>
      </c>
      <c r="E275" s="124"/>
      <c r="F275" s="124"/>
      <c r="G275" s="124"/>
      <c r="H275" s="124"/>
    </row>
    <row r="276" spans="1:8" x14ac:dyDescent="0.35">
      <c r="B276" s="66" t="s">
        <v>178</v>
      </c>
      <c r="C276" s="66" t="str">
        <f>input!$C$5</f>
        <v>INR</v>
      </c>
      <c r="D276" s="161">
        <f>D274-D275</f>
        <v>9868058.4923904147</v>
      </c>
      <c r="E276" s="124"/>
      <c r="F276" s="124"/>
      <c r="G276" s="124"/>
      <c r="H276" s="124"/>
    </row>
    <row r="277" spans="1:8" x14ac:dyDescent="0.35">
      <c r="A277" s="39">
        <f>A275+1</f>
        <v>3</v>
      </c>
      <c r="B277" s="66" t="s">
        <v>179</v>
      </c>
      <c r="C277" s="66" t="str">
        <f>input!$C$5</f>
        <v>INR</v>
      </c>
      <c r="D277" s="161">
        <f>D276*D$270</f>
        <v>1480208.7738585621</v>
      </c>
      <c r="E277" s="124"/>
      <c r="F277" s="124"/>
      <c r="G277" s="124"/>
      <c r="H277" s="124"/>
    </row>
    <row r="278" spans="1:8" x14ac:dyDescent="0.35">
      <c r="B278" s="66" t="s">
        <v>180</v>
      </c>
      <c r="C278" s="66" t="str">
        <f>input!$C$5</f>
        <v>INR</v>
      </c>
      <c r="D278" s="161">
        <f>D276-D277</f>
        <v>8387849.7185318526</v>
      </c>
      <c r="E278" s="124"/>
      <c r="F278" s="124"/>
      <c r="G278" s="124"/>
      <c r="H278" s="124"/>
    </row>
    <row r="279" spans="1:8" x14ac:dyDescent="0.35">
      <c r="A279" s="39">
        <f>A277+1</f>
        <v>4</v>
      </c>
      <c r="B279" s="66" t="s">
        <v>181</v>
      </c>
      <c r="C279" s="66" t="str">
        <f>input!$C$5</f>
        <v>INR</v>
      </c>
      <c r="D279" s="161">
        <f>D278*D$270</f>
        <v>1258177.4577797779</v>
      </c>
      <c r="E279" s="124"/>
      <c r="F279" s="124"/>
      <c r="G279" s="124"/>
      <c r="H279" s="124"/>
    </row>
    <row r="280" spans="1:8" x14ac:dyDescent="0.35">
      <c r="B280" s="66" t="s">
        <v>182</v>
      </c>
      <c r="C280" s="66" t="str">
        <f>input!$C$5</f>
        <v>INR</v>
      </c>
      <c r="D280" s="161">
        <f>D278-D279</f>
        <v>7129672.2607520744</v>
      </c>
      <c r="E280" s="124"/>
      <c r="F280" s="124"/>
      <c r="G280" s="124"/>
      <c r="H280" s="124"/>
    </row>
    <row r="281" spans="1:8" x14ac:dyDescent="0.35">
      <c r="A281" s="39">
        <f>A279+1</f>
        <v>5</v>
      </c>
      <c r="B281" s="66" t="s">
        <v>183</v>
      </c>
      <c r="C281" s="66" t="str">
        <f>input!$C$5</f>
        <v>INR</v>
      </c>
      <c r="D281" s="161">
        <f>D280*D$270</f>
        <v>1069450.839112811</v>
      </c>
      <c r="E281" s="124"/>
      <c r="F281" s="124"/>
      <c r="G281" s="124"/>
      <c r="H281" s="124"/>
    </row>
    <row r="282" spans="1:8" x14ac:dyDescent="0.35">
      <c r="B282" s="66" t="s">
        <v>184</v>
      </c>
      <c r="C282" s="66" t="str">
        <f>input!$C$5</f>
        <v>INR</v>
      </c>
      <c r="D282" s="161">
        <f>D280-D281</f>
        <v>6060221.4216392636</v>
      </c>
      <c r="E282" s="124"/>
      <c r="F282" s="124"/>
      <c r="G282" s="124"/>
      <c r="H282" s="124"/>
    </row>
    <row r="283" spans="1:8" x14ac:dyDescent="0.35">
      <c r="A283" s="39">
        <f>A281+1</f>
        <v>6</v>
      </c>
      <c r="B283" s="66" t="s">
        <v>185</v>
      </c>
      <c r="C283" s="66" t="str">
        <f>input!$C$5</f>
        <v>INR</v>
      </c>
      <c r="D283" s="161">
        <f>D282*D$270</f>
        <v>909033.21324588952</v>
      </c>
      <c r="E283" s="124"/>
      <c r="F283" s="124"/>
      <c r="G283" s="124"/>
      <c r="H283" s="124"/>
    </row>
    <row r="284" spans="1:8" x14ac:dyDescent="0.35">
      <c r="B284" s="66" t="s">
        <v>186</v>
      </c>
      <c r="C284" s="66" t="str">
        <f>input!$C$5</f>
        <v>INR</v>
      </c>
      <c r="D284" s="161">
        <f>D282-D283</f>
        <v>5151188.2083933745</v>
      </c>
      <c r="E284" s="124"/>
      <c r="F284" s="124"/>
      <c r="G284" s="124"/>
      <c r="H284" s="124"/>
    </row>
    <row r="285" spans="1:8" x14ac:dyDescent="0.35">
      <c r="A285" s="39">
        <f>A283+1</f>
        <v>7</v>
      </c>
      <c r="B285" s="66" t="s">
        <v>187</v>
      </c>
      <c r="C285" s="66" t="str">
        <f>input!$C$5</f>
        <v>INR</v>
      </c>
      <c r="D285" s="161">
        <f>D284*D$270</f>
        <v>772678.23125900619</v>
      </c>
      <c r="E285" s="124"/>
      <c r="F285" s="124"/>
      <c r="G285" s="124"/>
      <c r="H285" s="124"/>
    </row>
    <row r="286" spans="1:8" x14ac:dyDescent="0.35">
      <c r="B286" s="66" t="s">
        <v>188</v>
      </c>
      <c r="C286" s="66" t="str">
        <f>input!$C$5</f>
        <v>INR</v>
      </c>
      <c r="D286" s="161">
        <f>D284-D285</f>
        <v>4378509.9771343684</v>
      </c>
      <c r="E286" s="124"/>
      <c r="F286" s="124"/>
      <c r="G286" s="124"/>
      <c r="H286" s="124"/>
    </row>
    <row r="287" spans="1:8" x14ac:dyDescent="0.35">
      <c r="A287" s="39">
        <f>A285+1</f>
        <v>8</v>
      </c>
      <c r="B287" s="66" t="s">
        <v>189</v>
      </c>
      <c r="C287" s="66" t="str">
        <f>input!$C$5</f>
        <v>INR</v>
      </c>
      <c r="D287" s="161">
        <f>D286*D$270</f>
        <v>656776.49657015526</v>
      </c>
      <c r="E287" s="124"/>
      <c r="F287" s="124"/>
      <c r="G287" s="124"/>
      <c r="H287" s="124"/>
    </row>
    <row r="288" spans="1:8" x14ac:dyDescent="0.35">
      <c r="B288" s="66" t="s">
        <v>190</v>
      </c>
      <c r="C288" s="66" t="str">
        <f>input!$C$5</f>
        <v>INR</v>
      </c>
      <c r="D288" s="161">
        <f>D286-D287</f>
        <v>3721733.4805642134</v>
      </c>
      <c r="E288" s="124"/>
      <c r="F288" s="124"/>
      <c r="G288" s="124"/>
      <c r="H288" s="124"/>
    </row>
    <row r="289" spans="1:8" x14ac:dyDescent="0.35">
      <c r="A289" s="39">
        <f>A287+1</f>
        <v>9</v>
      </c>
      <c r="B289" s="66" t="s">
        <v>191</v>
      </c>
      <c r="C289" s="66" t="str">
        <f>input!$C$5</f>
        <v>INR</v>
      </c>
      <c r="D289" s="161">
        <f>D288*D$270</f>
        <v>558260.02208463196</v>
      </c>
      <c r="E289" s="124"/>
      <c r="F289" s="124"/>
      <c r="G289" s="124"/>
      <c r="H289" s="124"/>
    </row>
    <row r="290" spans="1:8" x14ac:dyDescent="0.35">
      <c r="B290" s="66" t="s">
        <v>192</v>
      </c>
      <c r="C290" s="66" t="str">
        <f>input!$C$5</f>
        <v>INR</v>
      </c>
      <c r="D290" s="161">
        <f>D288-D289</f>
        <v>3163473.4584795814</v>
      </c>
      <c r="E290" s="124"/>
      <c r="F290" s="124"/>
      <c r="G290" s="124"/>
      <c r="H290" s="124"/>
    </row>
    <row r="291" spans="1:8" x14ac:dyDescent="0.35">
      <c r="A291" s="39">
        <f>A289+1</f>
        <v>10</v>
      </c>
      <c r="B291" s="66" t="s">
        <v>193</v>
      </c>
      <c r="C291" s="66" t="str">
        <f>input!$C$5</f>
        <v>INR</v>
      </c>
      <c r="D291" s="161">
        <f>D290*D$270</f>
        <v>474521.01877193718</v>
      </c>
      <c r="E291" s="124"/>
      <c r="F291" s="124"/>
      <c r="G291" s="124"/>
      <c r="H291" s="124"/>
    </row>
    <row r="292" spans="1:8" x14ac:dyDescent="0.35">
      <c r="B292" s="66" t="s">
        <v>194</v>
      </c>
      <c r="C292" s="66" t="str">
        <f>input!$C$5</f>
        <v>INR</v>
      </c>
      <c r="D292" s="161">
        <f>D290-D291</f>
        <v>2688952.4397076443</v>
      </c>
      <c r="E292" s="124"/>
      <c r="F292" s="124"/>
      <c r="G292" s="124"/>
      <c r="H292" s="124"/>
    </row>
    <row r="293" spans="1:8" x14ac:dyDescent="0.35">
      <c r="A293" s="39">
        <f>A291+1</f>
        <v>11</v>
      </c>
      <c r="B293" s="66" t="s">
        <v>195</v>
      </c>
      <c r="C293" s="66" t="str">
        <f>input!$C$5</f>
        <v>INR</v>
      </c>
      <c r="D293" s="161">
        <f>D292*D$270</f>
        <v>403342.86595614662</v>
      </c>
      <c r="E293" s="124"/>
      <c r="F293" s="124"/>
      <c r="G293" s="124"/>
      <c r="H293" s="124"/>
    </row>
    <row r="294" spans="1:8" x14ac:dyDescent="0.35">
      <c r="B294" s="66" t="s">
        <v>196</v>
      </c>
      <c r="C294" s="66" t="str">
        <f>input!$C$5</f>
        <v>INR</v>
      </c>
      <c r="D294" s="161">
        <f>D292-D293</f>
        <v>2285609.5737514975</v>
      </c>
      <c r="E294" s="124"/>
      <c r="F294" s="124"/>
      <c r="G294" s="124"/>
      <c r="H294" s="124"/>
    </row>
    <row r="295" spans="1:8" x14ac:dyDescent="0.35">
      <c r="A295" s="39">
        <f>A293+1</f>
        <v>12</v>
      </c>
      <c r="B295" s="66" t="s">
        <v>197</v>
      </c>
      <c r="C295" s="66" t="str">
        <f>input!$C$5</f>
        <v>INR</v>
      </c>
      <c r="D295" s="161">
        <f>D294*D$270</f>
        <v>342841.43606272462</v>
      </c>
      <c r="E295" s="124"/>
      <c r="F295" s="124"/>
      <c r="G295" s="124"/>
      <c r="H295" s="124"/>
    </row>
    <row r="296" spans="1:8" x14ac:dyDescent="0.35">
      <c r="B296" s="66" t="s">
        <v>198</v>
      </c>
      <c r="C296" s="66" t="str">
        <f>input!$C$5</f>
        <v>INR</v>
      </c>
      <c r="D296" s="161">
        <f>D294-D295</f>
        <v>1942768.137688773</v>
      </c>
      <c r="E296" s="124"/>
      <c r="F296" s="124"/>
      <c r="G296" s="124"/>
      <c r="H296" s="124"/>
    </row>
    <row r="297" spans="1:8" x14ac:dyDescent="0.35">
      <c r="A297" s="39">
        <f>A295+1</f>
        <v>13</v>
      </c>
      <c r="B297" s="66" t="s">
        <v>199</v>
      </c>
      <c r="C297" s="66" t="str">
        <f>input!$C$5</f>
        <v>INR</v>
      </c>
      <c r="D297" s="161">
        <f>D296*D$270</f>
        <v>291415.22065331595</v>
      </c>
      <c r="E297" s="124"/>
      <c r="F297" s="124"/>
      <c r="G297" s="124"/>
      <c r="H297" s="124"/>
    </row>
    <row r="298" spans="1:8" x14ac:dyDescent="0.35">
      <c r="B298" s="66" t="s">
        <v>200</v>
      </c>
      <c r="C298" s="66" t="str">
        <f>input!$C$5</f>
        <v>INR</v>
      </c>
      <c r="D298" s="161">
        <f>D296-D297</f>
        <v>1651352.917035457</v>
      </c>
      <c r="E298" s="124"/>
      <c r="F298" s="124"/>
      <c r="G298" s="124"/>
      <c r="H298" s="124"/>
    </row>
    <row r="299" spans="1:8" x14ac:dyDescent="0.35">
      <c r="A299" s="39">
        <f>A297+1</f>
        <v>14</v>
      </c>
      <c r="B299" s="66" t="s">
        <v>201</v>
      </c>
      <c r="C299" s="66" t="str">
        <f>input!$C$5</f>
        <v>INR</v>
      </c>
      <c r="D299" s="161">
        <f>D298*D$270</f>
        <v>247702.93755531852</v>
      </c>
      <c r="E299" s="124"/>
      <c r="F299" s="124"/>
      <c r="G299" s="124"/>
      <c r="H299" s="124"/>
    </row>
    <row r="300" spans="1:8" x14ac:dyDescent="0.35">
      <c r="B300" s="66" t="s">
        <v>202</v>
      </c>
      <c r="C300" s="66" t="str">
        <f>input!$C$5</f>
        <v>INR</v>
      </c>
      <c r="D300" s="161">
        <f>D298-D299</f>
        <v>1403649.9794801385</v>
      </c>
      <c r="E300" s="124"/>
      <c r="F300" s="124"/>
      <c r="G300" s="124"/>
      <c r="H300" s="124"/>
    </row>
    <row r="301" spans="1:8" x14ac:dyDescent="0.35">
      <c r="A301" s="39">
        <f>A299+1</f>
        <v>15</v>
      </c>
      <c r="B301" s="66" t="s">
        <v>203</v>
      </c>
      <c r="C301" s="66" t="str">
        <f>input!$C$5</f>
        <v>INR</v>
      </c>
      <c r="D301" s="161">
        <f>D300*D$270</f>
        <v>210547.49692202077</v>
      </c>
      <c r="E301" s="124"/>
      <c r="F301" s="124"/>
      <c r="G301" s="124"/>
      <c r="H301" s="124"/>
    </row>
    <row r="306" spans="1:4" x14ac:dyDescent="0.35">
      <c r="B306" s="12" t="s">
        <v>204</v>
      </c>
      <c r="C306" s="12" t="s">
        <v>91</v>
      </c>
      <c r="D306" s="25" t="str">
        <f>D10</f>
        <v>xxxxx</v>
      </c>
    </row>
    <row r="307" spans="1:4" x14ac:dyDescent="0.35">
      <c r="B307" s="12"/>
      <c r="C307" s="12"/>
      <c r="D307" s="25" t="str">
        <f>D11</f>
        <v>Lifeboy 125g</v>
      </c>
    </row>
    <row r="308" spans="1:4" x14ac:dyDescent="0.35">
      <c r="B308" s="66" t="s">
        <v>205</v>
      </c>
      <c r="C308" s="66" t="str">
        <f>input!$C$5</f>
        <v>INR</v>
      </c>
      <c r="D308" s="146">
        <f>D111</f>
        <v>14377065.732858006</v>
      </c>
    </row>
    <row r="309" spans="1:4" x14ac:dyDescent="0.35">
      <c r="B309" s="66"/>
      <c r="C309" s="62"/>
      <c r="D309" s="128"/>
    </row>
    <row r="310" spans="1:4" x14ac:dyDescent="0.35">
      <c r="B310" s="66" t="s">
        <v>64</v>
      </c>
      <c r="C310" s="62" t="s">
        <v>43</v>
      </c>
      <c r="D310" s="136">
        <f>_xlfn.XLOOKUP($B310,input!$A:$A,input!C:C)</f>
        <v>0.125</v>
      </c>
    </row>
    <row r="311" spans="1:4" x14ac:dyDescent="0.35">
      <c r="B311" s="66" t="s">
        <v>206</v>
      </c>
      <c r="C311" s="62" t="s">
        <v>56</v>
      </c>
      <c r="D311" s="146">
        <v>10</v>
      </c>
    </row>
    <row r="312" spans="1:4" x14ac:dyDescent="0.35">
      <c r="B312" s="66" t="s">
        <v>207</v>
      </c>
      <c r="C312" s="62"/>
      <c r="D312" s="129">
        <v>1</v>
      </c>
    </row>
    <row r="313" spans="1:4" x14ac:dyDescent="0.35">
      <c r="B313" s="66" t="s">
        <v>208</v>
      </c>
      <c r="C313" s="66" t="str">
        <f>input!$C$5</f>
        <v>INR</v>
      </c>
      <c r="D313" s="129">
        <f>-PMT((D310/D312),(D311*D312),D308)</f>
        <v>2596811.2315595984</v>
      </c>
    </row>
    <row r="314" spans="1:4" x14ac:dyDescent="0.35">
      <c r="B314" s="66"/>
      <c r="C314" s="62"/>
      <c r="D314" s="128"/>
    </row>
    <row r="315" spans="1:4" x14ac:dyDescent="0.35">
      <c r="B315" s="66" t="s">
        <v>209</v>
      </c>
      <c r="C315" s="66" t="str">
        <f>input!$C$5</f>
        <v>INR</v>
      </c>
      <c r="D315" s="146">
        <f>D308</f>
        <v>14377065.732858006</v>
      </c>
    </row>
    <row r="316" spans="1:4" x14ac:dyDescent="0.35">
      <c r="A316" s="39">
        <v>1</v>
      </c>
      <c r="B316" s="66" t="s">
        <v>19</v>
      </c>
      <c r="C316" s="66" t="str">
        <f>input!$C$5</f>
        <v>INR</v>
      </c>
      <c r="D316" s="146">
        <f>D315*D$310</f>
        <v>1797133.2166072507</v>
      </c>
    </row>
    <row r="317" spans="1:4" x14ac:dyDescent="0.35">
      <c r="B317" s="66" t="s">
        <v>210</v>
      </c>
      <c r="C317" s="66" t="str">
        <f>input!$C$5</f>
        <v>INR</v>
      </c>
      <c r="D317" s="146">
        <f>D$313-D316</f>
        <v>799678.01495234761</v>
      </c>
    </row>
    <row r="318" spans="1:4" x14ac:dyDescent="0.35">
      <c r="B318" s="66" t="s">
        <v>211</v>
      </c>
      <c r="C318" s="66" t="str">
        <f>input!$C$5</f>
        <v>INR</v>
      </c>
      <c r="D318" s="146">
        <f>D315-D317</f>
        <v>13577387.717905659</v>
      </c>
    </row>
    <row r="319" spans="1:4" x14ac:dyDescent="0.35">
      <c r="B319" s="66"/>
      <c r="C319" s="62"/>
      <c r="D319" s="128"/>
    </row>
    <row r="320" spans="1:4" x14ac:dyDescent="0.35">
      <c r="B320" s="66" t="s">
        <v>209</v>
      </c>
      <c r="C320" s="66" t="str">
        <f>input!$C$5</f>
        <v>INR</v>
      </c>
      <c r="D320" s="129">
        <f>D318</f>
        <v>13577387.717905659</v>
      </c>
    </row>
    <row r="321" spans="1:4" x14ac:dyDescent="0.35">
      <c r="A321" s="39">
        <f>A316+1</f>
        <v>2</v>
      </c>
      <c r="B321" s="66" t="s">
        <v>19</v>
      </c>
      <c r="C321" s="66" t="str">
        <f>input!$C$5</f>
        <v>INR</v>
      </c>
      <c r="D321" s="146">
        <f>D320*D$310</f>
        <v>1697173.4647382074</v>
      </c>
    </row>
    <row r="322" spans="1:4" x14ac:dyDescent="0.35">
      <c r="B322" s="66" t="s">
        <v>210</v>
      </c>
      <c r="C322" s="66" t="str">
        <f>input!$C$5</f>
        <v>INR</v>
      </c>
      <c r="D322" s="129">
        <f>D$313-D321</f>
        <v>899637.76682139095</v>
      </c>
    </row>
    <row r="323" spans="1:4" x14ac:dyDescent="0.35">
      <c r="B323" s="66" t="s">
        <v>211</v>
      </c>
      <c r="C323" s="66" t="str">
        <f>input!$C$5</f>
        <v>INR</v>
      </c>
      <c r="D323" s="129">
        <f>D320-D322</f>
        <v>12677749.951084267</v>
      </c>
    </row>
    <row r="324" spans="1:4" x14ac:dyDescent="0.35">
      <c r="B324" s="66"/>
      <c r="C324" s="62"/>
      <c r="D324" s="128"/>
    </row>
    <row r="325" spans="1:4" x14ac:dyDescent="0.35">
      <c r="B325" s="66" t="s">
        <v>209</v>
      </c>
      <c r="C325" s="66" t="str">
        <f>input!$C$5</f>
        <v>INR</v>
      </c>
      <c r="D325" s="129">
        <f>D323</f>
        <v>12677749.951084267</v>
      </c>
    </row>
    <row r="326" spans="1:4" x14ac:dyDescent="0.35">
      <c r="A326" s="39">
        <f>A321+1</f>
        <v>3</v>
      </c>
      <c r="B326" s="66" t="s">
        <v>19</v>
      </c>
      <c r="C326" s="66" t="str">
        <f>input!$C$5</f>
        <v>INR</v>
      </c>
      <c r="D326" s="146">
        <f>D325*D$310</f>
        <v>1584718.7438855334</v>
      </c>
    </row>
    <row r="327" spans="1:4" x14ac:dyDescent="0.35">
      <c r="B327" s="66" t="s">
        <v>210</v>
      </c>
      <c r="C327" s="66" t="str">
        <f>input!$C$5</f>
        <v>INR</v>
      </c>
      <c r="D327" s="129">
        <f>D$313-D326</f>
        <v>1012092.4876740649</v>
      </c>
    </row>
    <row r="328" spans="1:4" x14ac:dyDescent="0.35">
      <c r="B328" s="66" t="s">
        <v>211</v>
      </c>
      <c r="C328" s="66" t="str">
        <f>input!$C$5</f>
        <v>INR</v>
      </c>
      <c r="D328" s="129">
        <f>D325-D327</f>
        <v>11665657.463410202</v>
      </c>
    </row>
    <row r="329" spans="1:4" x14ac:dyDescent="0.35">
      <c r="B329" s="66"/>
      <c r="C329" s="62"/>
      <c r="D329" s="128"/>
    </row>
    <row r="330" spans="1:4" x14ac:dyDescent="0.35">
      <c r="B330" s="66" t="s">
        <v>209</v>
      </c>
      <c r="C330" s="66" t="str">
        <f>input!$C$5</f>
        <v>INR</v>
      </c>
      <c r="D330" s="129">
        <f>D328</f>
        <v>11665657.463410202</v>
      </c>
    </row>
    <row r="331" spans="1:4" x14ac:dyDescent="0.35">
      <c r="A331" s="39">
        <f>A326+1</f>
        <v>4</v>
      </c>
      <c r="B331" s="66" t="s">
        <v>19</v>
      </c>
      <c r="C331" s="66" t="str">
        <f>input!$C$5</f>
        <v>INR</v>
      </c>
      <c r="D331" s="146">
        <f>D330*D$310</f>
        <v>1458207.1829262753</v>
      </c>
    </row>
    <row r="332" spans="1:4" x14ac:dyDescent="0.35">
      <c r="B332" s="66" t="s">
        <v>210</v>
      </c>
      <c r="C332" s="66" t="str">
        <f>input!$C$5</f>
        <v>INR</v>
      </c>
      <c r="D332" s="129">
        <f>D$313-D331</f>
        <v>1138604.0486333231</v>
      </c>
    </row>
    <row r="333" spans="1:4" x14ac:dyDescent="0.35">
      <c r="B333" s="66" t="s">
        <v>211</v>
      </c>
      <c r="C333" s="66" t="str">
        <f>input!$C$5</f>
        <v>INR</v>
      </c>
      <c r="D333" s="129">
        <f>D330-D332</f>
        <v>10527053.41477688</v>
      </c>
    </row>
    <row r="334" spans="1:4" x14ac:dyDescent="0.35">
      <c r="B334" s="66"/>
      <c r="C334" s="62"/>
      <c r="D334" s="128"/>
    </row>
    <row r="335" spans="1:4" x14ac:dyDescent="0.35">
      <c r="B335" s="66" t="s">
        <v>209</v>
      </c>
      <c r="C335" s="66" t="str">
        <f>input!$C$5</f>
        <v>INR</v>
      </c>
      <c r="D335" s="129">
        <f>D333</f>
        <v>10527053.41477688</v>
      </c>
    </row>
    <row r="336" spans="1:4" x14ac:dyDescent="0.35">
      <c r="A336" s="39">
        <f>A331+1</f>
        <v>5</v>
      </c>
      <c r="B336" s="66" t="s">
        <v>19</v>
      </c>
      <c r="C336" s="66" t="str">
        <f>input!$C$5</f>
        <v>INR</v>
      </c>
      <c r="D336" s="146">
        <f>D335*D$310</f>
        <v>1315881.67684711</v>
      </c>
    </row>
    <row r="337" spans="1:4" x14ac:dyDescent="0.35">
      <c r="B337" s="66" t="s">
        <v>210</v>
      </c>
      <c r="C337" s="66" t="str">
        <f>input!$C$5</f>
        <v>INR</v>
      </c>
      <c r="D337" s="129">
        <f>D$313-D336</f>
        <v>1280929.5547124883</v>
      </c>
    </row>
    <row r="338" spans="1:4" x14ac:dyDescent="0.35">
      <c r="B338" s="66" t="s">
        <v>211</v>
      </c>
      <c r="C338" s="66" t="str">
        <f>input!$C$5</f>
        <v>INR</v>
      </c>
      <c r="D338" s="129">
        <f>D335-D337</f>
        <v>9246123.860064391</v>
      </c>
    </row>
    <row r="339" spans="1:4" x14ac:dyDescent="0.35">
      <c r="B339" s="66"/>
      <c r="C339" s="62"/>
      <c r="D339" s="128"/>
    </row>
    <row r="340" spans="1:4" x14ac:dyDescent="0.35">
      <c r="B340" s="66" t="s">
        <v>209</v>
      </c>
      <c r="C340" s="66" t="str">
        <f>input!$C$5</f>
        <v>INR</v>
      </c>
      <c r="D340" s="129">
        <f>D338</f>
        <v>9246123.860064391</v>
      </c>
    </row>
    <row r="341" spans="1:4" x14ac:dyDescent="0.35">
      <c r="A341" s="39">
        <f>A336+1</f>
        <v>6</v>
      </c>
      <c r="B341" s="66" t="s">
        <v>19</v>
      </c>
      <c r="C341" s="66" t="str">
        <f>input!$C$5</f>
        <v>INR</v>
      </c>
      <c r="D341" s="146">
        <f>D340*D$310</f>
        <v>1155765.4825080489</v>
      </c>
    </row>
    <row r="342" spans="1:4" x14ac:dyDescent="0.35">
      <c r="B342" s="66" t="s">
        <v>210</v>
      </c>
      <c r="C342" s="66" t="str">
        <f>input!$C$5</f>
        <v>INR</v>
      </c>
      <c r="D342" s="129">
        <f>D$313-D341</f>
        <v>1441045.7490515495</v>
      </c>
    </row>
    <row r="343" spans="1:4" x14ac:dyDescent="0.35">
      <c r="B343" s="66" t="s">
        <v>211</v>
      </c>
      <c r="C343" s="66" t="str">
        <f>input!$C$5</f>
        <v>INR</v>
      </c>
      <c r="D343" s="129">
        <f>D340-D342</f>
        <v>7805078.1110128416</v>
      </c>
    </row>
    <row r="344" spans="1:4" x14ac:dyDescent="0.35">
      <c r="B344" s="66"/>
      <c r="C344" s="62"/>
      <c r="D344" s="128"/>
    </row>
    <row r="345" spans="1:4" x14ac:dyDescent="0.35">
      <c r="B345" s="66" t="s">
        <v>209</v>
      </c>
      <c r="C345" s="66" t="str">
        <f>input!$C$5</f>
        <v>INR</v>
      </c>
      <c r="D345" s="129">
        <f>D343</f>
        <v>7805078.1110128416</v>
      </c>
    </row>
    <row r="346" spans="1:4" x14ac:dyDescent="0.35">
      <c r="A346" s="39">
        <f>A341+1</f>
        <v>7</v>
      </c>
      <c r="B346" s="66" t="s">
        <v>19</v>
      </c>
      <c r="C346" s="66" t="str">
        <f>input!$C$5</f>
        <v>INR</v>
      </c>
      <c r="D346" s="146">
        <f>D345*D$310</f>
        <v>975634.7638766052</v>
      </c>
    </row>
    <row r="347" spans="1:4" x14ac:dyDescent="0.35">
      <c r="B347" s="66" t="s">
        <v>210</v>
      </c>
      <c r="C347" s="66" t="str">
        <f>input!$C$5</f>
        <v>INR</v>
      </c>
      <c r="D347" s="129">
        <f>D$313-D346</f>
        <v>1621176.467682993</v>
      </c>
    </row>
    <row r="348" spans="1:4" x14ac:dyDescent="0.35">
      <c r="B348" s="66" t="s">
        <v>211</v>
      </c>
      <c r="C348" s="66" t="str">
        <f>input!$C$5</f>
        <v>INR</v>
      </c>
      <c r="D348" s="129">
        <f>D345-D347</f>
        <v>6183901.6433298485</v>
      </c>
    </row>
    <row r="349" spans="1:4" x14ac:dyDescent="0.35">
      <c r="B349" s="66"/>
      <c r="C349" s="62"/>
      <c r="D349" s="128"/>
    </row>
    <row r="350" spans="1:4" x14ac:dyDescent="0.35">
      <c r="B350" s="66" t="s">
        <v>209</v>
      </c>
      <c r="C350" s="66" t="str">
        <f>input!$C$5</f>
        <v>INR</v>
      </c>
      <c r="D350" s="146">
        <f>D348</f>
        <v>6183901.6433298485</v>
      </c>
    </row>
    <row r="351" spans="1:4" x14ac:dyDescent="0.35">
      <c r="A351" s="39">
        <f>A346+1</f>
        <v>8</v>
      </c>
      <c r="B351" s="66" t="s">
        <v>19</v>
      </c>
      <c r="C351" s="66" t="str">
        <f>input!$C$5</f>
        <v>INR</v>
      </c>
      <c r="D351" s="146">
        <f>D350*D$310</f>
        <v>772987.70541623107</v>
      </c>
    </row>
    <row r="352" spans="1:4" x14ac:dyDescent="0.35">
      <c r="B352" s="66" t="s">
        <v>210</v>
      </c>
      <c r="C352" s="66" t="str">
        <f>input!$C$5</f>
        <v>INR</v>
      </c>
      <c r="D352" s="146">
        <f>D$313-D351</f>
        <v>1823823.5261433674</v>
      </c>
    </row>
    <row r="353" spans="1:4" x14ac:dyDescent="0.35">
      <c r="B353" s="66" t="s">
        <v>211</v>
      </c>
      <c r="C353" s="66" t="str">
        <f>input!$C$5</f>
        <v>INR</v>
      </c>
      <c r="D353" s="146">
        <f>D350-D352</f>
        <v>4360078.1171864811</v>
      </c>
    </row>
    <row r="354" spans="1:4" x14ac:dyDescent="0.35">
      <c r="B354" s="66"/>
      <c r="C354" s="62"/>
      <c r="D354" s="128"/>
    </row>
    <row r="355" spans="1:4" x14ac:dyDescent="0.35">
      <c r="B355" s="66" t="s">
        <v>209</v>
      </c>
      <c r="C355" s="66" t="str">
        <f>input!$C$5</f>
        <v>INR</v>
      </c>
      <c r="D355" s="129">
        <f>D353</f>
        <v>4360078.1171864811</v>
      </c>
    </row>
    <row r="356" spans="1:4" x14ac:dyDescent="0.35">
      <c r="A356" s="39">
        <f>A351+1</f>
        <v>9</v>
      </c>
      <c r="B356" s="66" t="s">
        <v>19</v>
      </c>
      <c r="C356" s="66" t="str">
        <f>input!$C$5</f>
        <v>INR</v>
      </c>
      <c r="D356" s="146">
        <f>D355*D$310</f>
        <v>545009.76464831014</v>
      </c>
    </row>
    <row r="357" spans="1:4" x14ac:dyDescent="0.35">
      <c r="B357" s="66" t="s">
        <v>210</v>
      </c>
      <c r="C357" s="66" t="str">
        <f>input!$C$5</f>
        <v>INR</v>
      </c>
      <c r="D357" s="129">
        <f>D$313-D356</f>
        <v>2051801.4669112882</v>
      </c>
    </row>
    <row r="358" spans="1:4" x14ac:dyDescent="0.35">
      <c r="B358" s="66" t="s">
        <v>211</v>
      </c>
      <c r="C358" s="66" t="str">
        <f>input!$C$5</f>
        <v>INR</v>
      </c>
      <c r="D358" s="129">
        <f>D355-D357</f>
        <v>2308276.6502751932</v>
      </c>
    </row>
    <row r="359" spans="1:4" x14ac:dyDescent="0.35">
      <c r="B359" s="66"/>
      <c r="C359" s="62"/>
      <c r="D359" s="128"/>
    </row>
    <row r="360" spans="1:4" x14ac:dyDescent="0.35">
      <c r="B360" s="66" t="s">
        <v>209</v>
      </c>
      <c r="C360" s="66" t="str">
        <f>input!$C$5</f>
        <v>INR</v>
      </c>
      <c r="D360" s="146">
        <f>D358</f>
        <v>2308276.6502751932</v>
      </c>
    </row>
    <row r="361" spans="1:4" x14ac:dyDescent="0.35">
      <c r="A361" s="39">
        <f>A356+1</f>
        <v>10</v>
      </c>
      <c r="B361" s="66" t="s">
        <v>19</v>
      </c>
      <c r="C361" s="66" t="str">
        <f>input!$C$5</f>
        <v>INR</v>
      </c>
      <c r="D361" s="146">
        <f>D360*D$310</f>
        <v>288534.58128439914</v>
      </c>
    </row>
    <row r="362" spans="1:4" x14ac:dyDescent="0.35">
      <c r="B362" s="66" t="s">
        <v>210</v>
      </c>
      <c r="C362" s="66" t="str">
        <f>input!$C$5</f>
        <v>INR</v>
      </c>
      <c r="D362" s="146">
        <f>D$313-D361</f>
        <v>2308276.6502751992</v>
      </c>
    </row>
    <row r="363" spans="1:4" x14ac:dyDescent="0.35">
      <c r="B363" s="66" t="s">
        <v>211</v>
      </c>
      <c r="C363" s="66" t="str">
        <f>input!$C$5</f>
        <v>INR</v>
      </c>
      <c r="D363" s="146">
        <f>D360-D362</f>
        <v>-6.0535967350006104E-9</v>
      </c>
    </row>
    <row r="366" spans="1:4" x14ac:dyDescent="0.35">
      <c r="B366" s="11"/>
      <c r="D366" s="61"/>
    </row>
    <row r="367" spans="1:4" x14ac:dyDescent="0.35">
      <c r="D367" s="61"/>
    </row>
    <row r="368" spans="1:4" x14ac:dyDescent="0.35">
      <c r="B368" s="12" t="s">
        <v>212</v>
      </c>
      <c r="C368" s="12" t="s">
        <v>91</v>
      </c>
      <c r="D368" s="12" t="s">
        <v>213</v>
      </c>
    </row>
    <row r="369" spans="1:4" x14ac:dyDescent="0.35">
      <c r="B369" s="20" t="s">
        <v>172</v>
      </c>
      <c r="C369" s="66" t="str">
        <f>input!$C$5</f>
        <v>INR</v>
      </c>
      <c r="D369" s="150">
        <f>D229</f>
        <v>1027344.5516688338</v>
      </c>
    </row>
    <row r="370" spans="1:4" x14ac:dyDescent="0.35">
      <c r="B370" s="66"/>
      <c r="C370" s="66"/>
      <c r="D370" s="66"/>
    </row>
    <row r="371" spans="1:4" x14ac:dyDescent="0.35">
      <c r="B371" s="66" t="s">
        <v>54</v>
      </c>
      <c r="C371" s="66" t="str">
        <f>input!$C$5</f>
        <v>INR</v>
      </c>
      <c r="D371" s="136">
        <f>_xlfn.XLOOKUP($B371,input!$A:$A,input!C:C)</f>
        <v>0.1</v>
      </c>
    </row>
    <row r="372" spans="1:4" x14ac:dyDescent="0.35">
      <c r="B372" s="66" t="s">
        <v>173</v>
      </c>
      <c r="C372" s="66" t="str">
        <f>input!$C$5</f>
        <v>INR</v>
      </c>
      <c r="D372" s="151">
        <f>D369*5%</f>
        <v>51367.227583441694</v>
      </c>
    </row>
    <row r="373" spans="1:4" x14ac:dyDescent="0.35">
      <c r="B373" s="66" t="s">
        <v>214</v>
      </c>
      <c r="C373" s="66" t="str">
        <f>input!$C$5</f>
        <v>INR</v>
      </c>
      <c r="D373" s="151">
        <f>D369-D372</f>
        <v>975977.32408539217</v>
      </c>
    </row>
    <row r="374" spans="1:4" x14ac:dyDescent="0.35">
      <c r="A374" s="39">
        <v>1</v>
      </c>
      <c r="B374" s="66" t="s">
        <v>175</v>
      </c>
      <c r="C374" s="66" t="str">
        <f>input!$C$5</f>
        <v>INR</v>
      </c>
      <c r="D374" s="50">
        <f>D373*$D$371</f>
        <v>97597.732408539217</v>
      </c>
    </row>
    <row r="375" spans="1:4" x14ac:dyDescent="0.35">
      <c r="B375" s="66" t="s">
        <v>215</v>
      </c>
      <c r="C375" s="66" t="str">
        <f>input!$C$5</f>
        <v>INR</v>
      </c>
      <c r="D375" s="151">
        <f>D373-D374</f>
        <v>878379.5916768529</v>
      </c>
    </row>
    <row r="376" spans="1:4" x14ac:dyDescent="0.35">
      <c r="A376" s="39">
        <f>A374+1</f>
        <v>2</v>
      </c>
      <c r="B376" s="66" t="s">
        <v>177</v>
      </c>
      <c r="C376" s="66" t="str">
        <f>input!$C$5</f>
        <v>INR</v>
      </c>
      <c r="D376" s="50">
        <f>D375*$D$371</f>
        <v>87837.959167685302</v>
      </c>
    </row>
    <row r="377" spans="1:4" x14ac:dyDescent="0.35">
      <c r="B377" s="66" t="s">
        <v>216</v>
      </c>
      <c r="C377" s="66" t="str">
        <f>input!$C$5</f>
        <v>INR</v>
      </c>
      <c r="D377" s="151">
        <f>D375-D376</f>
        <v>790541.63250916754</v>
      </c>
    </row>
    <row r="378" spans="1:4" x14ac:dyDescent="0.35">
      <c r="A378" s="39">
        <f>A376+1</f>
        <v>3</v>
      </c>
      <c r="B378" s="66" t="s">
        <v>179</v>
      </c>
      <c r="C378" s="66" t="str">
        <f>input!$C$5</f>
        <v>INR</v>
      </c>
      <c r="D378" s="50">
        <f>D377*$D$371</f>
        <v>79054.163250916754</v>
      </c>
    </row>
    <row r="379" spans="1:4" x14ac:dyDescent="0.35">
      <c r="B379" s="66" t="s">
        <v>217</v>
      </c>
      <c r="C379" s="66" t="str">
        <f>input!$C$5</f>
        <v>INR</v>
      </c>
      <c r="D379" s="151">
        <f>D377-D378</f>
        <v>711487.46925825079</v>
      </c>
    </row>
    <row r="380" spans="1:4" x14ac:dyDescent="0.35">
      <c r="A380" s="39">
        <f>A378+1</f>
        <v>4</v>
      </c>
      <c r="B380" s="66" t="s">
        <v>181</v>
      </c>
      <c r="C380" s="66" t="str">
        <f>input!$C$5</f>
        <v>INR</v>
      </c>
      <c r="D380" s="50">
        <f>D379*$D$371</f>
        <v>71148.746925825079</v>
      </c>
    </row>
    <row r="381" spans="1:4" x14ac:dyDescent="0.35">
      <c r="B381" s="66" t="s">
        <v>218</v>
      </c>
      <c r="C381" s="66" t="str">
        <f>input!$C$5</f>
        <v>INR</v>
      </c>
      <c r="D381" s="151">
        <f>D379-D380</f>
        <v>640338.72233242565</v>
      </c>
    </row>
    <row r="382" spans="1:4" x14ac:dyDescent="0.35">
      <c r="A382" s="39">
        <f>A380+1</f>
        <v>5</v>
      </c>
      <c r="B382" s="66" t="s">
        <v>183</v>
      </c>
      <c r="C382" s="66" t="str">
        <f>input!$C$5</f>
        <v>INR</v>
      </c>
      <c r="D382" s="50">
        <f>D381*$D$371</f>
        <v>64033.872233242568</v>
      </c>
    </row>
    <row r="383" spans="1:4" x14ac:dyDescent="0.35">
      <c r="B383" s="66" t="s">
        <v>219</v>
      </c>
      <c r="C383" s="66" t="str">
        <f>input!$C$5</f>
        <v>INR</v>
      </c>
      <c r="D383" s="151">
        <f>D381-D382</f>
        <v>576304.85009918304</v>
      </c>
    </row>
    <row r="384" spans="1:4" x14ac:dyDescent="0.35">
      <c r="A384" s="39">
        <f>A382+1</f>
        <v>6</v>
      </c>
      <c r="B384" s="66" t="s">
        <v>185</v>
      </c>
      <c r="C384" s="66" t="str">
        <f>input!$C$5</f>
        <v>INR</v>
      </c>
      <c r="D384" s="50">
        <f>D383*$D$371</f>
        <v>57630.48500991831</v>
      </c>
    </row>
    <row r="385" spans="1:4" x14ac:dyDescent="0.35">
      <c r="B385" s="66" t="s">
        <v>220</v>
      </c>
      <c r="C385" s="66" t="str">
        <f>input!$C$5</f>
        <v>INR</v>
      </c>
      <c r="D385" s="151">
        <f>D383-D384</f>
        <v>518674.3650892647</v>
      </c>
    </row>
    <row r="386" spans="1:4" x14ac:dyDescent="0.35">
      <c r="A386" s="39">
        <f>A384+1</f>
        <v>7</v>
      </c>
      <c r="B386" s="66" t="s">
        <v>187</v>
      </c>
      <c r="C386" s="66" t="str">
        <f>input!$C$5</f>
        <v>INR</v>
      </c>
      <c r="D386" s="50">
        <f>D385*$D$371</f>
        <v>51867.436508926476</v>
      </c>
    </row>
    <row r="387" spans="1:4" x14ac:dyDescent="0.35">
      <c r="B387" s="66" t="s">
        <v>221</v>
      </c>
      <c r="C387" s="66" t="str">
        <f>input!$C$5</f>
        <v>INR</v>
      </c>
      <c r="D387" s="151">
        <f>D385-D386</f>
        <v>466806.92858033825</v>
      </c>
    </row>
    <row r="388" spans="1:4" x14ac:dyDescent="0.35">
      <c r="A388" s="39">
        <f>A386+1</f>
        <v>8</v>
      </c>
      <c r="B388" s="66" t="s">
        <v>189</v>
      </c>
      <c r="C388" s="66" t="str">
        <f>input!$C$5</f>
        <v>INR</v>
      </c>
      <c r="D388" s="50">
        <f>D387*$D$371</f>
        <v>46680.692858033828</v>
      </c>
    </row>
    <row r="389" spans="1:4" x14ac:dyDescent="0.35">
      <c r="B389" s="66" t="s">
        <v>222</v>
      </c>
      <c r="C389" s="66" t="str">
        <f>input!$C$5</f>
        <v>INR</v>
      </c>
      <c r="D389" s="151">
        <f>D387-D388</f>
        <v>420126.23572230444</v>
      </c>
    </row>
    <row r="390" spans="1:4" x14ac:dyDescent="0.35">
      <c r="A390" s="39">
        <f>A388+1</f>
        <v>9</v>
      </c>
      <c r="B390" s="66" t="s">
        <v>191</v>
      </c>
      <c r="C390" s="66" t="str">
        <f>input!$C$5</f>
        <v>INR</v>
      </c>
      <c r="D390" s="50">
        <f>D389*$D$371</f>
        <v>42012.623572230448</v>
      </c>
    </row>
    <row r="391" spans="1:4" x14ac:dyDescent="0.35">
      <c r="B391" s="66" t="s">
        <v>223</v>
      </c>
      <c r="C391" s="66" t="str">
        <f>input!$C$5</f>
        <v>INR</v>
      </c>
      <c r="D391" s="151">
        <f>D389-D390</f>
        <v>378113.61215007398</v>
      </c>
    </row>
    <row r="392" spans="1:4" x14ac:dyDescent="0.35">
      <c r="A392" s="39">
        <f>A390+1</f>
        <v>10</v>
      </c>
      <c r="B392" s="66" t="s">
        <v>193</v>
      </c>
      <c r="C392" s="66" t="str">
        <f>input!$C$5</f>
        <v>INR</v>
      </c>
      <c r="D392" s="50">
        <f>D391*$D$371</f>
        <v>37811.361215007397</v>
      </c>
    </row>
    <row r="393" spans="1:4" x14ac:dyDescent="0.35">
      <c r="B393" s="66" t="s">
        <v>224</v>
      </c>
      <c r="C393" s="66" t="str">
        <f>input!$C$5</f>
        <v>INR</v>
      </c>
      <c r="D393" s="151">
        <f>D391-D392</f>
        <v>340302.25093506661</v>
      </c>
    </row>
    <row r="394" spans="1:4" x14ac:dyDescent="0.35">
      <c r="A394" s="39">
        <f>A392+1</f>
        <v>11</v>
      </c>
      <c r="B394" s="66" t="s">
        <v>195</v>
      </c>
      <c r="C394" s="66" t="str">
        <f>input!$C$5</f>
        <v>INR</v>
      </c>
      <c r="D394" s="50">
        <f>D393*$D$371</f>
        <v>34030.225093506662</v>
      </c>
    </row>
    <row r="395" spans="1:4" x14ac:dyDescent="0.35">
      <c r="B395" s="66" t="s">
        <v>225</v>
      </c>
      <c r="C395" s="66" t="str">
        <f>input!$C$5</f>
        <v>INR</v>
      </c>
      <c r="D395" s="151">
        <f>D393-D394</f>
        <v>306272.02584155992</v>
      </c>
    </row>
    <row r="396" spans="1:4" x14ac:dyDescent="0.35">
      <c r="A396" s="39">
        <f>A394+1</f>
        <v>12</v>
      </c>
      <c r="B396" s="66" t="s">
        <v>197</v>
      </c>
      <c r="C396" s="66" t="str">
        <f>input!$C$5</f>
        <v>INR</v>
      </c>
      <c r="D396" s="50">
        <f>D395*$D$371</f>
        <v>30627.202584155995</v>
      </c>
    </row>
    <row r="397" spans="1:4" x14ac:dyDescent="0.35">
      <c r="B397" s="66" t="s">
        <v>226</v>
      </c>
      <c r="C397" s="66" t="str">
        <f>input!$C$5</f>
        <v>INR</v>
      </c>
      <c r="D397" s="151">
        <f>D395-D396</f>
        <v>275644.82325740391</v>
      </c>
    </row>
    <row r="398" spans="1:4" x14ac:dyDescent="0.35">
      <c r="A398" s="39">
        <f>A396+1</f>
        <v>13</v>
      </c>
      <c r="B398" s="66" t="s">
        <v>199</v>
      </c>
      <c r="C398" s="66" t="str">
        <f>input!$C$5</f>
        <v>INR</v>
      </c>
      <c r="D398" s="50">
        <f>D397*$D$371</f>
        <v>27564.482325740391</v>
      </c>
    </row>
    <row r="399" spans="1:4" x14ac:dyDescent="0.35">
      <c r="B399" s="66" t="s">
        <v>227</v>
      </c>
      <c r="C399" s="66" t="str">
        <f>input!$C$5</f>
        <v>INR</v>
      </c>
      <c r="D399" s="151">
        <f>D397-D398</f>
        <v>248080.34093166352</v>
      </c>
    </row>
    <row r="400" spans="1:4" x14ac:dyDescent="0.35">
      <c r="A400" s="39">
        <f>A398+1</f>
        <v>14</v>
      </c>
      <c r="B400" s="66" t="s">
        <v>201</v>
      </c>
      <c r="C400" s="66" t="str">
        <f>input!$C$5</f>
        <v>INR</v>
      </c>
      <c r="D400" s="50">
        <f>D399*$D$371</f>
        <v>24808.034093166352</v>
      </c>
    </row>
    <row r="401" spans="1:4" x14ac:dyDescent="0.35">
      <c r="B401" s="66" t="s">
        <v>228</v>
      </c>
      <c r="C401" s="66" t="str">
        <f>input!$C$5</f>
        <v>INR</v>
      </c>
      <c r="D401" s="151">
        <f>D399-D400</f>
        <v>223272.30683849717</v>
      </c>
    </row>
    <row r="402" spans="1:4" x14ac:dyDescent="0.35">
      <c r="A402" s="39">
        <f>A400+1</f>
        <v>15</v>
      </c>
      <c r="B402" s="66" t="s">
        <v>203</v>
      </c>
      <c r="C402" s="66" t="str">
        <f>input!$C$5</f>
        <v>INR</v>
      </c>
      <c r="D402" s="50">
        <f>D401*$D$371</f>
        <v>22327.230683849717</v>
      </c>
    </row>
    <row r="403" spans="1:4" x14ac:dyDescent="0.35">
      <c r="B403" s="66"/>
      <c r="C403" s="66"/>
      <c r="D403" s="151"/>
    </row>
    <row r="404" spans="1:4" x14ac:dyDescent="0.35">
      <c r="D404" s="61"/>
    </row>
    <row r="405" spans="1:4" x14ac:dyDescent="0.35">
      <c r="B405" s="11"/>
      <c r="D405" s="61"/>
    </row>
    <row r="406" spans="1:4" x14ac:dyDescent="0.35">
      <c r="D406" s="61"/>
    </row>
    <row r="407" spans="1:4" x14ac:dyDescent="0.35">
      <c r="B407" s="13" t="s">
        <v>229</v>
      </c>
      <c r="C407" s="13" t="s">
        <v>91</v>
      </c>
      <c r="D407" s="13" t="s">
        <v>213</v>
      </c>
    </row>
    <row r="408" spans="1:4" x14ac:dyDescent="0.35">
      <c r="B408" s="66" t="s">
        <v>205</v>
      </c>
      <c r="C408" s="66" t="str">
        <f>input!$C$5</f>
        <v>INR</v>
      </c>
      <c r="D408" s="152">
        <f>D229+D228</f>
        <v>5958392.6514389915</v>
      </c>
    </row>
    <row r="409" spans="1:4" x14ac:dyDescent="0.35">
      <c r="B409" s="66"/>
      <c r="C409" s="66"/>
      <c r="D409" s="153"/>
    </row>
    <row r="410" spans="1:4" x14ac:dyDescent="0.35">
      <c r="B410" s="66" t="s">
        <v>64</v>
      </c>
      <c r="C410" s="66" t="s">
        <v>43</v>
      </c>
      <c r="D410" s="136">
        <f>_xlfn.XLOOKUP($B410,input!$A:$A,input!C:C)</f>
        <v>0.125</v>
      </c>
    </row>
    <row r="411" spans="1:4" x14ac:dyDescent="0.35">
      <c r="B411" s="66" t="s">
        <v>206</v>
      </c>
      <c r="C411" s="66" t="s">
        <v>56</v>
      </c>
      <c r="D411" s="152">
        <v>10</v>
      </c>
    </row>
    <row r="412" spans="1:4" x14ac:dyDescent="0.35">
      <c r="B412" s="66" t="s">
        <v>207</v>
      </c>
      <c r="C412" s="66"/>
      <c r="D412" s="152">
        <v>1</v>
      </c>
    </row>
    <row r="413" spans="1:4" x14ac:dyDescent="0.35">
      <c r="B413" s="66" t="s">
        <v>208</v>
      </c>
      <c r="C413" s="66" t="str">
        <f>input!$C$5</f>
        <v>INR</v>
      </c>
      <c r="D413" s="129">
        <f>-PMT((D410/D412),(D411*D412),D408)</f>
        <v>1076215.4981274554</v>
      </c>
    </row>
    <row r="414" spans="1:4" x14ac:dyDescent="0.35">
      <c r="B414" s="66"/>
      <c r="C414" s="66"/>
      <c r="D414" s="153"/>
    </row>
    <row r="415" spans="1:4" x14ac:dyDescent="0.35">
      <c r="B415" s="66" t="s">
        <v>209</v>
      </c>
      <c r="C415" s="66" t="str">
        <f>input!$C$5</f>
        <v>INR</v>
      </c>
      <c r="D415" s="129">
        <f>D408</f>
        <v>5958392.6514389915</v>
      </c>
    </row>
    <row r="416" spans="1:4" x14ac:dyDescent="0.35">
      <c r="A416" s="39">
        <v>1</v>
      </c>
      <c r="B416" s="66" t="s">
        <v>19</v>
      </c>
      <c r="C416" s="66" t="str">
        <f>input!$C$5</f>
        <v>INR</v>
      </c>
      <c r="D416" s="129">
        <f>D415*D$410</f>
        <v>744799.08142987394</v>
      </c>
    </row>
    <row r="417" spans="1:4" x14ac:dyDescent="0.35">
      <c r="B417" s="66" t="s">
        <v>210</v>
      </c>
      <c r="C417" s="66" t="str">
        <f>input!$C$5</f>
        <v>INR</v>
      </c>
      <c r="D417" s="129">
        <f>$D$413-D416</f>
        <v>331416.41669758142</v>
      </c>
    </row>
    <row r="418" spans="1:4" x14ac:dyDescent="0.35">
      <c r="B418" s="66" t="s">
        <v>211</v>
      </c>
      <c r="C418" s="66" t="str">
        <f>input!$C$5</f>
        <v>INR</v>
      </c>
      <c r="D418" s="129">
        <f>D415-D417</f>
        <v>5626976.2347414102</v>
      </c>
    </row>
    <row r="419" spans="1:4" x14ac:dyDescent="0.35">
      <c r="B419" s="66"/>
      <c r="C419" s="66"/>
      <c r="D419" s="153"/>
    </row>
    <row r="420" spans="1:4" x14ac:dyDescent="0.35">
      <c r="B420" s="66" t="s">
        <v>209</v>
      </c>
      <c r="C420" s="66" t="str">
        <f>input!$C$5</f>
        <v>INR</v>
      </c>
      <c r="D420" s="152">
        <f>D418</f>
        <v>5626976.2347414102</v>
      </c>
    </row>
    <row r="421" spans="1:4" x14ac:dyDescent="0.35">
      <c r="A421" s="39">
        <f>A416+1</f>
        <v>2</v>
      </c>
      <c r="B421" s="66" t="s">
        <v>19</v>
      </c>
      <c r="C421" s="66" t="str">
        <f>input!$C$5</f>
        <v>INR</v>
      </c>
      <c r="D421" s="129">
        <f>D420*D$410</f>
        <v>703372.02934267628</v>
      </c>
    </row>
    <row r="422" spans="1:4" x14ac:dyDescent="0.35">
      <c r="B422" s="66" t="s">
        <v>210</v>
      </c>
      <c r="C422" s="66" t="str">
        <f>input!$C$5</f>
        <v>INR</v>
      </c>
      <c r="D422" s="129">
        <f>$D$413-D421</f>
        <v>372843.46878477908</v>
      </c>
    </row>
    <row r="423" spans="1:4" x14ac:dyDescent="0.35">
      <c r="B423" s="66" t="s">
        <v>211</v>
      </c>
      <c r="C423" s="66" t="str">
        <f>input!$C$5</f>
        <v>INR</v>
      </c>
      <c r="D423" s="129">
        <f>D420-D422</f>
        <v>5254132.7659566309</v>
      </c>
    </row>
    <row r="424" spans="1:4" x14ac:dyDescent="0.35">
      <c r="B424" s="66"/>
      <c r="C424" s="66"/>
      <c r="D424" s="153"/>
    </row>
    <row r="425" spans="1:4" x14ac:dyDescent="0.35">
      <c r="B425" s="66" t="s">
        <v>209</v>
      </c>
      <c r="C425" s="66" t="str">
        <f>input!$C$5</f>
        <v>INR</v>
      </c>
      <c r="D425" s="152">
        <f>D423</f>
        <v>5254132.7659566309</v>
      </c>
    </row>
    <row r="426" spans="1:4" x14ac:dyDescent="0.35">
      <c r="A426" s="39">
        <f>A421+1</f>
        <v>3</v>
      </c>
      <c r="B426" s="66" t="s">
        <v>19</v>
      </c>
      <c r="C426" s="66" t="str">
        <f>input!$C$5</f>
        <v>INR</v>
      </c>
      <c r="D426" s="129">
        <f>D425*D$410</f>
        <v>656766.59574457887</v>
      </c>
    </row>
    <row r="427" spans="1:4" x14ac:dyDescent="0.35">
      <c r="B427" s="66" t="s">
        <v>210</v>
      </c>
      <c r="C427" s="66" t="str">
        <f>input!$C$5</f>
        <v>INR</v>
      </c>
      <c r="D427" s="129">
        <f>$D$413-D426</f>
        <v>419448.90238287649</v>
      </c>
    </row>
    <row r="428" spans="1:4" x14ac:dyDescent="0.35">
      <c r="B428" s="66" t="s">
        <v>211</v>
      </c>
      <c r="C428" s="66" t="str">
        <f>input!$C$5</f>
        <v>INR</v>
      </c>
      <c r="D428" s="129">
        <f>D425-D427</f>
        <v>4834683.8635737542</v>
      </c>
    </row>
    <row r="429" spans="1:4" x14ac:dyDescent="0.35">
      <c r="B429" s="66"/>
      <c r="C429" s="66"/>
      <c r="D429" s="153"/>
    </row>
    <row r="430" spans="1:4" x14ac:dyDescent="0.35">
      <c r="B430" s="66" t="s">
        <v>209</v>
      </c>
      <c r="C430" s="66" t="str">
        <f>input!$C$5</f>
        <v>INR</v>
      </c>
      <c r="D430" s="152">
        <f>D428</f>
        <v>4834683.8635737542</v>
      </c>
    </row>
    <row r="431" spans="1:4" x14ac:dyDescent="0.35">
      <c r="A431" s="39">
        <f>A426+1</f>
        <v>4</v>
      </c>
      <c r="B431" s="66" t="s">
        <v>19</v>
      </c>
      <c r="C431" s="66" t="str">
        <f>input!$C$5</f>
        <v>INR</v>
      </c>
      <c r="D431" s="129">
        <f>D430*D$410</f>
        <v>604335.48294671928</v>
      </c>
    </row>
    <row r="432" spans="1:4" x14ac:dyDescent="0.35">
      <c r="B432" s="66" t="s">
        <v>210</v>
      </c>
      <c r="C432" s="66" t="str">
        <f>input!$C$5</f>
        <v>INR</v>
      </c>
      <c r="D432" s="129">
        <f>$D$413-D431</f>
        <v>471880.01518073608</v>
      </c>
    </row>
    <row r="433" spans="1:4" x14ac:dyDescent="0.35">
      <c r="B433" s="66" t="s">
        <v>211</v>
      </c>
      <c r="C433" s="66" t="str">
        <f>input!$C$5</f>
        <v>INR</v>
      </c>
      <c r="D433" s="129">
        <f>D430-D432</f>
        <v>4362803.8483930184</v>
      </c>
    </row>
    <row r="434" spans="1:4" x14ac:dyDescent="0.35">
      <c r="B434" s="66"/>
      <c r="C434" s="66"/>
      <c r="D434" s="153"/>
    </row>
    <row r="435" spans="1:4" x14ac:dyDescent="0.35">
      <c r="B435" s="66" t="s">
        <v>209</v>
      </c>
      <c r="C435" s="66" t="str">
        <f>input!$C$5</f>
        <v>INR</v>
      </c>
      <c r="D435" s="152">
        <f>D433</f>
        <v>4362803.8483930184</v>
      </c>
    </row>
    <row r="436" spans="1:4" x14ac:dyDescent="0.35">
      <c r="A436" s="39">
        <f>A431+1</f>
        <v>5</v>
      </c>
      <c r="B436" s="66" t="s">
        <v>19</v>
      </c>
      <c r="C436" s="66" t="str">
        <f>input!$C$5</f>
        <v>INR</v>
      </c>
      <c r="D436" s="129">
        <f>D435*D$410</f>
        <v>545350.48104912729</v>
      </c>
    </row>
    <row r="437" spans="1:4" x14ac:dyDescent="0.35">
      <c r="B437" s="66" t="s">
        <v>210</v>
      </c>
      <c r="C437" s="66" t="str">
        <f>input!$C$5</f>
        <v>INR</v>
      </c>
      <c r="D437" s="129">
        <f>$D$413-D436</f>
        <v>530865.01707832806</v>
      </c>
    </row>
    <row r="438" spans="1:4" x14ac:dyDescent="0.35">
      <c r="B438" s="66" t="s">
        <v>211</v>
      </c>
      <c r="C438" s="66" t="str">
        <f>input!$C$5</f>
        <v>INR</v>
      </c>
      <c r="D438" s="129">
        <f>D435-D437</f>
        <v>3831938.8313146904</v>
      </c>
    </row>
    <row r="439" spans="1:4" x14ac:dyDescent="0.35">
      <c r="B439" s="66"/>
      <c r="C439" s="66"/>
      <c r="D439" s="153"/>
    </row>
    <row r="440" spans="1:4" x14ac:dyDescent="0.35">
      <c r="B440" s="66" t="s">
        <v>209</v>
      </c>
      <c r="C440" s="66" t="str">
        <f>input!$C$5</f>
        <v>INR</v>
      </c>
      <c r="D440" s="152">
        <f>D438</f>
        <v>3831938.8313146904</v>
      </c>
    </row>
    <row r="441" spans="1:4" x14ac:dyDescent="0.35">
      <c r="A441" s="39">
        <f>A436+1</f>
        <v>6</v>
      </c>
      <c r="B441" s="66" t="s">
        <v>19</v>
      </c>
      <c r="C441" s="66" t="str">
        <f>input!$C$5</f>
        <v>INR</v>
      </c>
      <c r="D441" s="129">
        <f>D440*D$410</f>
        <v>478992.3539143363</v>
      </c>
    </row>
    <row r="442" spans="1:4" x14ac:dyDescent="0.35">
      <c r="B442" s="66" t="s">
        <v>210</v>
      </c>
      <c r="C442" s="66" t="str">
        <f>input!$C$5</f>
        <v>INR</v>
      </c>
      <c r="D442" s="129">
        <f>$D$413-D441</f>
        <v>597223.14421311906</v>
      </c>
    </row>
    <row r="443" spans="1:4" x14ac:dyDescent="0.35">
      <c r="B443" s="66" t="s">
        <v>211</v>
      </c>
      <c r="C443" s="66" t="str">
        <f>input!$C$5</f>
        <v>INR</v>
      </c>
      <c r="D443" s="129">
        <f>D440-D442</f>
        <v>3234715.6871015714</v>
      </c>
    </row>
    <row r="444" spans="1:4" x14ac:dyDescent="0.35">
      <c r="B444" s="66"/>
      <c r="C444" s="66"/>
      <c r="D444" s="153"/>
    </row>
    <row r="445" spans="1:4" x14ac:dyDescent="0.35">
      <c r="B445" s="66" t="s">
        <v>209</v>
      </c>
      <c r="C445" s="66" t="str">
        <f>input!$C$5</f>
        <v>INR</v>
      </c>
      <c r="D445" s="152">
        <f>D443</f>
        <v>3234715.6871015714</v>
      </c>
    </row>
    <row r="446" spans="1:4" x14ac:dyDescent="0.35">
      <c r="A446" s="39">
        <f>A441+1</f>
        <v>7</v>
      </c>
      <c r="B446" s="66" t="s">
        <v>19</v>
      </c>
      <c r="C446" s="66" t="str">
        <f>input!$C$5</f>
        <v>INR</v>
      </c>
      <c r="D446" s="129">
        <f>D445*D$410</f>
        <v>404339.46088769642</v>
      </c>
    </row>
    <row r="447" spans="1:4" x14ac:dyDescent="0.35">
      <c r="B447" s="66" t="s">
        <v>210</v>
      </c>
      <c r="C447" s="66" t="str">
        <f>input!$C$5</f>
        <v>INR</v>
      </c>
      <c r="D447" s="129">
        <f>$D$413-D446</f>
        <v>671876.037239759</v>
      </c>
    </row>
    <row r="448" spans="1:4" x14ac:dyDescent="0.35">
      <c r="B448" s="66" t="s">
        <v>211</v>
      </c>
      <c r="C448" s="66" t="str">
        <f>input!$C$5</f>
        <v>INR</v>
      </c>
      <c r="D448" s="129">
        <f>D445-D447</f>
        <v>2562839.6498618126</v>
      </c>
    </row>
    <row r="449" spans="1:4" x14ac:dyDescent="0.35">
      <c r="B449" s="66"/>
      <c r="C449" s="66"/>
      <c r="D449" s="153"/>
    </row>
    <row r="450" spans="1:4" x14ac:dyDescent="0.35">
      <c r="B450" s="66" t="s">
        <v>209</v>
      </c>
      <c r="C450" s="66" t="str">
        <f>input!$C$5</f>
        <v>INR</v>
      </c>
      <c r="D450" s="152">
        <f>D448</f>
        <v>2562839.6498618126</v>
      </c>
    </row>
    <row r="451" spans="1:4" x14ac:dyDescent="0.35">
      <c r="A451" s="39">
        <f>A446+1</f>
        <v>8</v>
      </c>
      <c r="B451" s="66" t="s">
        <v>19</v>
      </c>
      <c r="C451" s="66" t="str">
        <f>input!$C$5</f>
        <v>INR</v>
      </c>
      <c r="D451" s="129">
        <f>D450*D$410</f>
        <v>320354.95623272657</v>
      </c>
    </row>
    <row r="452" spans="1:4" x14ac:dyDescent="0.35">
      <c r="B452" s="66" t="s">
        <v>210</v>
      </c>
      <c r="C452" s="66" t="str">
        <f>input!$C$5</f>
        <v>INR</v>
      </c>
      <c r="D452" s="129">
        <f>$D$413-D451</f>
        <v>755860.54189472878</v>
      </c>
    </row>
    <row r="453" spans="1:4" x14ac:dyDescent="0.35">
      <c r="B453" s="66" t="s">
        <v>211</v>
      </c>
      <c r="C453" s="66" t="str">
        <f>input!$C$5</f>
        <v>INR</v>
      </c>
      <c r="D453" s="129">
        <f>D450-D452</f>
        <v>1806979.1079670838</v>
      </c>
    </row>
    <row r="454" spans="1:4" x14ac:dyDescent="0.35">
      <c r="B454" s="66"/>
      <c r="C454" s="66"/>
      <c r="D454" s="153"/>
    </row>
    <row r="455" spans="1:4" x14ac:dyDescent="0.35">
      <c r="B455" s="66" t="s">
        <v>209</v>
      </c>
      <c r="C455" s="66" t="str">
        <f>input!$C$5</f>
        <v>INR</v>
      </c>
      <c r="D455" s="152">
        <f>D453</f>
        <v>1806979.1079670838</v>
      </c>
    </row>
    <row r="456" spans="1:4" x14ac:dyDescent="0.35">
      <c r="A456" s="39">
        <f>A451+1</f>
        <v>9</v>
      </c>
      <c r="B456" s="66" t="s">
        <v>19</v>
      </c>
      <c r="C456" s="66" t="str">
        <f>input!$C$5</f>
        <v>INR</v>
      </c>
      <c r="D456" s="129">
        <f>D455*D$410</f>
        <v>225872.38849588548</v>
      </c>
    </row>
    <row r="457" spans="1:4" x14ac:dyDescent="0.35">
      <c r="B457" s="66" t="s">
        <v>210</v>
      </c>
      <c r="C457" s="66" t="str">
        <f>input!$C$5</f>
        <v>INR</v>
      </c>
      <c r="D457" s="129">
        <f>$D$413-D456</f>
        <v>850343.10963156982</v>
      </c>
    </row>
    <row r="458" spans="1:4" x14ac:dyDescent="0.35">
      <c r="B458" s="66" t="s">
        <v>211</v>
      </c>
      <c r="C458" s="66" t="str">
        <f>input!$C$5</f>
        <v>INR</v>
      </c>
      <c r="D458" s="129">
        <f>D455-D457</f>
        <v>956635.99833551398</v>
      </c>
    </row>
    <row r="459" spans="1:4" x14ac:dyDescent="0.35">
      <c r="B459" s="66"/>
      <c r="C459" s="66"/>
      <c r="D459" s="153"/>
    </row>
    <row r="460" spans="1:4" x14ac:dyDescent="0.35">
      <c r="B460" s="66" t="s">
        <v>209</v>
      </c>
      <c r="C460" s="66" t="str">
        <f>input!$C$5</f>
        <v>INR</v>
      </c>
      <c r="D460" s="152">
        <f>D458</f>
        <v>956635.99833551398</v>
      </c>
    </row>
    <row r="461" spans="1:4" x14ac:dyDescent="0.35">
      <c r="A461" s="39">
        <f>A456+1</f>
        <v>10</v>
      </c>
      <c r="B461" s="66" t="s">
        <v>19</v>
      </c>
      <c r="C461" s="66" t="str">
        <f>input!$C$5</f>
        <v>INR</v>
      </c>
      <c r="D461" s="129">
        <f>D460*D$410</f>
        <v>119579.49979193925</v>
      </c>
    </row>
    <row r="462" spans="1:4" x14ac:dyDescent="0.35">
      <c r="B462" s="66" t="s">
        <v>210</v>
      </c>
      <c r="C462" s="66" t="str">
        <f>input!$C$5</f>
        <v>INR</v>
      </c>
      <c r="D462" s="129">
        <f>$D$413-D461</f>
        <v>956635.99833551608</v>
      </c>
    </row>
    <row r="463" spans="1:4" x14ac:dyDescent="0.35">
      <c r="B463" s="66" t="s">
        <v>211</v>
      </c>
      <c r="C463" s="66" t="str">
        <f>input!$C$5</f>
        <v>INR</v>
      </c>
      <c r="D463" s="138">
        <f>D460-D462</f>
        <v>-2.0954757928848267E-9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76091-107A-422F-B05E-FB3326A85AE6}">
  <dimension ref="A2:V182"/>
  <sheetViews>
    <sheetView workbookViewId="0">
      <selection activeCell="H5" sqref="H5"/>
    </sheetView>
  </sheetViews>
  <sheetFormatPr defaultColWidth="9" defaultRowHeight="11.65" x14ac:dyDescent="0.35"/>
  <cols>
    <col min="1" max="1" width="2.53125" style="46" customWidth="1"/>
    <col min="2" max="2" width="29.1328125" style="46" customWidth="1"/>
    <col min="3" max="3" width="13" style="46" customWidth="1"/>
    <col min="4" max="4" width="22.53125" style="46" customWidth="1"/>
    <col min="5" max="5" width="14.796875" style="46" customWidth="1"/>
    <col min="6" max="6" width="12" style="46" customWidth="1"/>
    <col min="7" max="7" width="8.796875" style="46" customWidth="1"/>
    <col min="8" max="8" width="9.53125" style="46" customWidth="1"/>
    <col min="9" max="9" width="9.796875" style="46" customWidth="1"/>
    <col min="10" max="10" width="16.796875" style="46" bestFit="1" customWidth="1"/>
    <col min="11" max="11" width="10.33203125" style="46" bestFit="1" customWidth="1"/>
    <col min="12" max="12" width="14.33203125" style="46" customWidth="1"/>
    <col min="13" max="13" width="9.33203125" style="46" bestFit="1" customWidth="1"/>
    <col min="14" max="14" width="11.19921875" style="46" customWidth="1"/>
    <col min="15" max="15" width="10" style="46" bestFit="1" customWidth="1"/>
    <col min="16" max="16" width="13.19921875" style="46" bestFit="1" customWidth="1"/>
    <col min="17" max="17" width="14" style="46" customWidth="1"/>
    <col min="18" max="18" width="12.1328125" style="46" customWidth="1"/>
    <col min="19" max="19" width="11.1328125" style="46" customWidth="1"/>
    <col min="20" max="20" width="11.796875" style="46" customWidth="1"/>
    <col min="21" max="21" width="15.796875" style="46" customWidth="1"/>
    <col min="22" max="16384" width="9" style="46"/>
  </cols>
  <sheetData>
    <row r="2" spans="2:4" x14ac:dyDescent="0.35">
      <c r="B2" s="26" t="s">
        <v>432</v>
      </c>
      <c r="C2" s="27" t="s">
        <v>230</v>
      </c>
    </row>
    <row r="3" spans="2:4" x14ac:dyDescent="0.35">
      <c r="B3" s="28" t="s">
        <v>231</v>
      </c>
      <c r="C3" s="29" t="s">
        <v>232</v>
      </c>
      <c r="D3" s="28" t="s">
        <v>233</v>
      </c>
    </row>
    <row r="4" spans="2:4" x14ac:dyDescent="0.35">
      <c r="B4" s="28"/>
      <c r="C4" s="28"/>
      <c r="D4" s="28"/>
    </row>
    <row r="5" spans="2:4" x14ac:dyDescent="0.35">
      <c r="B5" s="47" t="s">
        <v>234</v>
      </c>
      <c r="C5" s="48">
        <f>SUMPRODUCT(E33:E77,J33:J77)</f>
        <v>22.95486987934904</v>
      </c>
      <c r="D5" s="47" t="s">
        <v>235</v>
      </c>
    </row>
    <row r="6" spans="2:4" x14ac:dyDescent="0.35">
      <c r="B6" s="47" t="s">
        <v>236</v>
      </c>
      <c r="C6" s="48">
        <f>conversion!D176</f>
        <v>49.051247224999997</v>
      </c>
      <c r="D6" s="47" t="s">
        <v>237</v>
      </c>
    </row>
    <row r="7" spans="2:4" x14ac:dyDescent="0.35">
      <c r="B7" s="47" t="s">
        <v>238</v>
      </c>
      <c r="C7" s="48">
        <f>conversion!D193</f>
        <v>65.62551369863013</v>
      </c>
      <c r="D7" s="47" t="s">
        <v>239</v>
      </c>
    </row>
    <row r="8" spans="2:4" x14ac:dyDescent="0.35">
      <c r="B8" s="47" t="s">
        <v>240</v>
      </c>
      <c r="C8" s="48">
        <f>C5*5%</f>
        <v>1.147743493967452</v>
      </c>
      <c r="D8" s="47" t="s">
        <v>241</v>
      </c>
    </row>
    <row r="9" spans="2:4" x14ac:dyDescent="0.35">
      <c r="B9" s="47" t="s">
        <v>242</v>
      </c>
      <c r="C9" s="48">
        <f>C5*1%</f>
        <v>0.22954869879349041</v>
      </c>
      <c r="D9" s="47" t="s">
        <v>243</v>
      </c>
    </row>
    <row r="10" spans="2:4" x14ac:dyDescent="0.35">
      <c r="B10" s="47" t="s">
        <v>244</v>
      </c>
      <c r="C10" s="48">
        <f>C5*5%</f>
        <v>1.147743493967452</v>
      </c>
      <c r="D10" s="47" t="s">
        <v>245</v>
      </c>
    </row>
    <row r="11" spans="2:4" x14ac:dyDescent="0.35">
      <c r="B11" s="47" t="s">
        <v>246</v>
      </c>
      <c r="C11" s="48">
        <f>C5*5%</f>
        <v>1.147743493967452</v>
      </c>
      <c r="D11" s="47" t="s">
        <v>247</v>
      </c>
    </row>
    <row r="12" spans="2:4" x14ac:dyDescent="0.35">
      <c r="B12" s="47" t="s">
        <v>248</v>
      </c>
      <c r="C12" s="48">
        <f>C5*1%</f>
        <v>0.22954869879349041</v>
      </c>
      <c r="D12" s="47" t="s">
        <v>249</v>
      </c>
    </row>
    <row r="13" spans="2:4" x14ac:dyDescent="0.35">
      <c r="B13" s="47" t="s">
        <v>250</v>
      </c>
      <c r="C13" s="48">
        <f>C5*1%</f>
        <v>0.22954869879349041</v>
      </c>
      <c r="D13" s="47" t="s">
        <v>251</v>
      </c>
    </row>
    <row r="14" spans="2:4" x14ac:dyDescent="0.35">
      <c r="B14" s="47" t="s">
        <v>252</v>
      </c>
      <c r="C14" s="48">
        <v>5</v>
      </c>
      <c r="D14" s="47"/>
    </row>
    <row r="15" spans="2:4" x14ac:dyDescent="0.35">
      <c r="B15" s="49" t="s">
        <v>253</v>
      </c>
      <c r="C15" s="50">
        <f>SUM(C5:C14)</f>
        <v>146.76350738126197</v>
      </c>
      <c r="D15" s="49"/>
    </row>
    <row r="16" spans="2:4" x14ac:dyDescent="0.35">
      <c r="B16" s="49" t="s">
        <v>254</v>
      </c>
      <c r="C16" s="51">
        <v>0.7</v>
      </c>
      <c r="D16" s="49"/>
    </row>
    <row r="17" spans="2:22" x14ac:dyDescent="0.35">
      <c r="B17" s="49" t="s">
        <v>255</v>
      </c>
      <c r="C17" s="50">
        <f>C15/C16</f>
        <v>209.66215340180284</v>
      </c>
      <c r="D17" s="49"/>
    </row>
    <row r="19" spans="2:22" x14ac:dyDescent="0.35">
      <c r="B19" s="26" t="s">
        <v>256</v>
      </c>
    </row>
    <row r="20" spans="2:22" x14ac:dyDescent="0.35">
      <c r="B20" s="30" t="s">
        <v>257</v>
      </c>
      <c r="C20" s="170" t="s">
        <v>504</v>
      </c>
      <c r="D20" s="170" t="str">
        <f>input!A102</f>
        <v>Euro</v>
      </c>
      <c r="E20" s="170" t="str">
        <f>input!C5</f>
        <v>INR</v>
      </c>
      <c r="F20" s="31" t="s">
        <v>473</v>
      </c>
      <c r="G20" s="31" t="s">
        <v>474</v>
      </c>
    </row>
    <row r="21" spans="2:22" x14ac:dyDescent="0.35">
      <c r="B21" s="49" t="s">
        <v>466</v>
      </c>
      <c r="C21" s="50">
        <v>100000</v>
      </c>
      <c r="D21" s="49" cm="1">
        <f t="array" ref="D21">_xlfn.XLOOKUP(D20,input!$A5:$A$498,input!$C$5:$C$498)</f>
        <v>104.27</v>
      </c>
      <c r="E21" s="180">
        <f>D21*C21</f>
        <v>10427000</v>
      </c>
      <c r="F21" s="49" t="s">
        <v>475</v>
      </c>
      <c r="G21" s="49" t="s">
        <v>482</v>
      </c>
      <c r="I21" s="52"/>
    </row>
    <row r="22" spans="2:22" x14ac:dyDescent="0.35">
      <c r="B22" s="49" t="s">
        <v>467</v>
      </c>
      <c r="C22" s="50">
        <v>40000</v>
      </c>
      <c r="D22" s="49">
        <f>D21</f>
        <v>104.27</v>
      </c>
      <c r="E22" s="180">
        <f t="shared" ref="E22:E28" si="0">D22*C22</f>
        <v>4170800</v>
      </c>
      <c r="F22" s="49" t="s">
        <v>476</v>
      </c>
      <c r="G22" s="49" t="s">
        <v>483</v>
      </c>
      <c r="I22" s="52"/>
    </row>
    <row r="23" spans="2:22" x14ac:dyDescent="0.35">
      <c r="B23" s="49" t="s">
        <v>468</v>
      </c>
      <c r="C23" s="50">
        <v>45000</v>
      </c>
      <c r="D23" s="49">
        <f t="shared" ref="D23:D26" si="1">D22</f>
        <v>104.27</v>
      </c>
      <c r="E23" s="180">
        <f t="shared" si="0"/>
        <v>4692150</v>
      </c>
      <c r="F23" s="49" t="s">
        <v>477</v>
      </c>
      <c r="G23" s="49"/>
      <c r="I23" s="52"/>
    </row>
    <row r="24" spans="2:22" x14ac:dyDescent="0.35">
      <c r="B24" s="49" t="s">
        <v>469</v>
      </c>
      <c r="C24" s="50">
        <v>30000</v>
      </c>
      <c r="D24" s="49">
        <f t="shared" si="1"/>
        <v>104.27</v>
      </c>
      <c r="E24" s="180">
        <f t="shared" si="0"/>
        <v>3128100</v>
      </c>
      <c r="F24" s="49" t="s">
        <v>478</v>
      </c>
      <c r="G24" s="49"/>
      <c r="I24" s="52"/>
    </row>
    <row r="25" spans="2:22" x14ac:dyDescent="0.35">
      <c r="B25" s="49" t="s">
        <v>470</v>
      </c>
      <c r="C25" s="50">
        <v>40000</v>
      </c>
      <c r="D25" s="49">
        <f t="shared" si="1"/>
        <v>104.27</v>
      </c>
      <c r="E25" s="180">
        <f t="shared" si="0"/>
        <v>4170800</v>
      </c>
      <c r="F25" s="49" t="s">
        <v>479</v>
      </c>
      <c r="G25" s="49"/>
      <c r="I25" s="52"/>
    </row>
    <row r="26" spans="2:22" x14ac:dyDescent="0.35">
      <c r="B26" s="49" t="s">
        <v>471</v>
      </c>
      <c r="C26" s="50">
        <v>30000</v>
      </c>
      <c r="D26" s="49">
        <f t="shared" si="1"/>
        <v>104.27</v>
      </c>
      <c r="E26" s="180">
        <f t="shared" si="0"/>
        <v>3128100</v>
      </c>
      <c r="F26" s="49" t="s">
        <v>480</v>
      </c>
      <c r="G26" s="49"/>
      <c r="I26" s="52"/>
    </row>
    <row r="27" spans="2:22" x14ac:dyDescent="0.35">
      <c r="B27" s="49" t="s">
        <v>472</v>
      </c>
      <c r="C27" s="50">
        <v>100000</v>
      </c>
      <c r="D27" s="49">
        <f>D25</f>
        <v>104.27</v>
      </c>
      <c r="E27" s="180">
        <f t="shared" ref="E27" si="2">D27*C27</f>
        <v>10427000</v>
      </c>
      <c r="F27" s="49" t="s">
        <v>481</v>
      </c>
      <c r="G27" s="49" t="s">
        <v>484</v>
      </c>
      <c r="I27" s="52"/>
    </row>
    <row r="28" spans="2:22" x14ac:dyDescent="0.35">
      <c r="B28" s="182" t="s">
        <v>526</v>
      </c>
      <c r="C28" s="50">
        <v>121506.683</v>
      </c>
      <c r="D28" s="49">
        <f>D26</f>
        <v>104.27</v>
      </c>
      <c r="E28" s="180">
        <f t="shared" si="0"/>
        <v>12669501.836410001</v>
      </c>
      <c r="F28" s="49" t="s">
        <v>481</v>
      </c>
      <c r="G28" s="49" t="s">
        <v>484</v>
      </c>
      <c r="I28" s="52"/>
    </row>
    <row r="29" spans="2:22" x14ac:dyDescent="0.35">
      <c r="B29" s="49" t="s">
        <v>259</v>
      </c>
      <c r="C29" s="50">
        <f>SUM(C21:C28)</f>
        <v>506506.68300000002</v>
      </c>
      <c r="D29" s="49"/>
      <c r="E29" s="50">
        <f>SUM(E21:E28)</f>
        <v>52813451.836410001</v>
      </c>
      <c r="F29" s="49"/>
      <c r="G29" s="49"/>
    </row>
    <row r="31" spans="2:22" x14ac:dyDescent="0.35">
      <c r="B31" s="26" t="s">
        <v>260</v>
      </c>
      <c r="F31" s="30" t="s">
        <v>576</v>
      </c>
      <c r="S31" s="26"/>
    </row>
    <row r="32" spans="2:22" ht="24.5" customHeight="1" x14ac:dyDescent="0.35">
      <c r="B32" s="30" t="s">
        <v>261</v>
      </c>
      <c r="C32" s="30" t="s">
        <v>262</v>
      </c>
      <c r="D32" s="30" t="s">
        <v>263</v>
      </c>
      <c r="E32" s="30" t="s">
        <v>258</v>
      </c>
      <c r="F32" s="30" t="s">
        <v>486</v>
      </c>
      <c r="G32" s="30" t="s">
        <v>392</v>
      </c>
      <c r="H32" s="38" t="s">
        <v>393</v>
      </c>
      <c r="I32" s="30" t="s">
        <v>264</v>
      </c>
      <c r="J32" s="30" t="s">
        <v>265</v>
      </c>
      <c r="L32" s="240" t="s">
        <v>580</v>
      </c>
      <c r="M32" s="26"/>
      <c r="N32" s="26"/>
      <c r="O32" s="26"/>
      <c r="P32" s="45"/>
      <c r="Q32" s="26"/>
      <c r="R32" s="26"/>
      <c r="V32" s="53"/>
    </row>
    <row r="33" spans="2:18" x14ac:dyDescent="0.35">
      <c r="B33" s="49" t="s">
        <v>328</v>
      </c>
      <c r="C33" s="49" t="s">
        <v>340</v>
      </c>
      <c r="D33" s="49" t="s">
        <v>333</v>
      </c>
      <c r="E33" s="181">
        <f>IFERROR(HLOOKUP($D33,conversion!$D$16:$D$39,ROWS(conversion!$C$16:$C$39),0),0)</f>
        <v>0</v>
      </c>
      <c r="F33" s="55">
        <f>1822600.24</f>
        <v>1822600.24</v>
      </c>
      <c r="G33" s="55">
        <v>400</v>
      </c>
      <c r="H33" s="55">
        <v>2.2000000000000002</v>
      </c>
      <c r="I33" s="55">
        <v>340</v>
      </c>
      <c r="J33" s="55">
        <v>450</v>
      </c>
      <c r="K33" s="73"/>
      <c r="L33" s="241">
        <f>_xlfn.XLOOKUP($F$31,input!$A:$A,input!C:C)*F33</f>
        <v>190042527.0248</v>
      </c>
      <c r="O33" s="56"/>
      <c r="P33" s="56"/>
      <c r="Q33" s="57"/>
      <c r="R33" s="58"/>
    </row>
    <row r="34" spans="2:18" x14ac:dyDescent="0.35">
      <c r="B34" s="49" t="s">
        <v>328</v>
      </c>
      <c r="C34" s="49" t="s">
        <v>433</v>
      </c>
      <c r="D34" s="66" t="s">
        <v>433</v>
      </c>
      <c r="E34" s="181">
        <f>IFERROR(HLOOKUP($D34,conversion!$D$16:$D$39,ROWS(conversion!$C$16:$C$39),0),0)</f>
        <v>0</v>
      </c>
      <c r="F34" s="55">
        <v>1800000</v>
      </c>
      <c r="G34" s="55">
        <v>250</v>
      </c>
      <c r="H34" s="55">
        <v>1.8</v>
      </c>
      <c r="I34" s="55">
        <v>340</v>
      </c>
      <c r="J34" s="55">
        <v>450</v>
      </c>
      <c r="K34" s="52"/>
      <c r="L34" s="241">
        <f>_xlfn.XLOOKUP($F$31,input!$A:$A,input!C:C)*F34</f>
        <v>187686000</v>
      </c>
      <c r="O34" s="56"/>
      <c r="P34" s="56"/>
      <c r="Q34" s="57"/>
      <c r="R34" s="58"/>
    </row>
    <row r="35" spans="2:18" x14ac:dyDescent="0.35">
      <c r="B35" s="49" t="s">
        <v>328</v>
      </c>
      <c r="C35" s="49" t="s">
        <v>489</v>
      </c>
      <c r="D35" s="66" t="s">
        <v>434</v>
      </c>
      <c r="E35" s="181">
        <f>IFERROR(HLOOKUP($D35,conversion!$D$16:$D$39,ROWS(conversion!$C$16:$C$39),0),0)</f>
        <v>0</v>
      </c>
      <c r="F35" s="55">
        <v>1800000</v>
      </c>
      <c r="G35" s="55">
        <v>250</v>
      </c>
      <c r="H35" s="55">
        <v>1.8</v>
      </c>
      <c r="I35" s="55">
        <v>340</v>
      </c>
      <c r="J35" s="55">
        <v>450</v>
      </c>
      <c r="K35" s="52"/>
      <c r="L35" s="241">
        <f>_xlfn.XLOOKUP($F$31,input!$A:$A,input!C:C)*F35</f>
        <v>187686000</v>
      </c>
      <c r="O35" s="56"/>
      <c r="P35" s="56"/>
      <c r="Q35" s="57"/>
      <c r="R35" s="58"/>
    </row>
    <row r="36" spans="2:18" x14ac:dyDescent="0.35">
      <c r="B36" s="49" t="s">
        <v>328</v>
      </c>
      <c r="C36" s="49" t="s">
        <v>489</v>
      </c>
      <c r="D36" s="66" t="s">
        <v>435</v>
      </c>
      <c r="E36" s="181">
        <f>IFERROR(HLOOKUP($D36,conversion!$D$16:$D$39,ROWS(conversion!$C$16:$C$39),0),0)</f>
        <v>0</v>
      </c>
      <c r="F36" s="55">
        <v>1800000</v>
      </c>
      <c r="G36" s="55">
        <v>300</v>
      </c>
      <c r="H36" s="55">
        <v>1.8</v>
      </c>
      <c r="I36" s="55">
        <v>340</v>
      </c>
      <c r="J36" s="55">
        <v>450</v>
      </c>
      <c r="K36" s="52"/>
      <c r="L36" s="241">
        <f>_xlfn.XLOOKUP($F$31,input!$A:$A,input!C:C)*F36</f>
        <v>187686000</v>
      </c>
      <c r="O36" s="56"/>
      <c r="P36" s="56"/>
      <c r="Q36" s="57"/>
      <c r="R36" s="58"/>
    </row>
    <row r="37" spans="2:18" x14ac:dyDescent="0.35">
      <c r="B37" s="49" t="s">
        <v>328</v>
      </c>
      <c r="C37" s="49" t="s">
        <v>489</v>
      </c>
      <c r="D37" s="66" t="s">
        <v>436</v>
      </c>
      <c r="E37" s="181">
        <f>IFERROR(HLOOKUP($D37,conversion!$D$16:$D$39,ROWS(conversion!$C$16:$C$39),0),0)</f>
        <v>0</v>
      </c>
      <c r="F37" s="55">
        <v>1800000</v>
      </c>
      <c r="G37" s="55">
        <v>350</v>
      </c>
      <c r="H37" s="55">
        <v>1.8</v>
      </c>
      <c r="I37" s="55">
        <v>340</v>
      </c>
      <c r="J37" s="55">
        <v>450</v>
      </c>
      <c r="K37" s="52"/>
      <c r="L37" s="241">
        <f>_xlfn.XLOOKUP($F$31,input!$A:$A,input!C:C)*F37</f>
        <v>187686000</v>
      </c>
      <c r="O37" s="56"/>
      <c r="P37" s="56"/>
      <c r="Q37" s="57"/>
      <c r="R37" s="58"/>
    </row>
    <row r="38" spans="2:18" x14ac:dyDescent="0.35">
      <c r="B38" s="49" t="s">
        <v>328</v>
      </c>
      <c r="C38" s="49" t="s">
        <v>340</v>
      </c>
      <c r="D38" s="66" t="s">
        <v>437</v>
      </c>
      <c r="E38" s="181">
        <f>IFERROR(HLOOKUP($D38,conversion!$D$16:$D$39,ROWS(conversion!$C$16:$C$39),0),0)</f>
        <v>1.8094749579124578E-2</v>
      </c>
      <c r="F38" s="233">
        <v>2950000</v>
      </c>
      <c r="G38" s="233">
        <v>150</v>
      </c>
      <c r="H38" s="55">
        <v>1.8</v>
      </c>
      <c r="I38" s="55">
        <v>340</v>
      </c>
      <c r="J38" s="55">
        <v>450</v>
      </c>
      <c r="K38" s="52"/>
      <c r="L38" s="241">
        <f>_xlfn.XLOOKUP($F$31,input!$A:$A,input!C:C)*F38</f>
        <v>307596500</v>
      </c>
      <c r="O38" s="56"/>
      <c r="P38" s="56"/>
      <c r="Q38" s="57"/>
      <c r="R38" s="58"/>
    </row>
    <row r="39" spans="2:18" x14ac:dyDescent="0.35">
      <c r="B39" s="49" t="s">
        <v>328</v>
      </c>
      <c r="C39" s="49" t="s">
        <v>340</v>
      </c>
      <c r="D39" s="66" t="s">
        <v>438</v>
      </c>
      <c r="E39" s="181">
        <f>IFERROR(HLOOKUP($D39,conversion!$D$16:$D$39,ROWS(conversion!$C$16:$C$39),0),0)</f>
        <v>0</v>
      </c>
      <c r="F39" s="55">
        <v>3950000</v>
      </c>
      <c r="G39" s="55">
        <v>250</v>
      </c>
      <c r="H39" s="55">
        <v>2.2000000000000002</v>
      </c>
      <c r="I39" s="55">
        <v>340</v>
      </c>
      <c r="J39" s="55">
        <v>450</v>
      </c>
      <c r="K39" s="52"/>
      <c r="L39" s="241">
        <f>_xlfn.XLOOKUP($F$31,input!$A:$A,input!C:C)*F39</f>
        <v>411866500</v>
      </c>
      <c r="O39" s="56"/>
      <c r="P39" s="56"/>
      <c r="Q39" s="57"/>
      <c r="R39" s="58"/>
    </row>
    <row r="40" spans="2:18" x14ac:dyDescent="0.35">
      <c r="B40" s="49" t="s">
        <v>328</v>
      </c>
      <c r="C40" s="49" t="s">
        <v>487</v>
      </c>
      <c r="D40" s="66" t="s">
        <v>439</v>
      </c>
      <c r="E40" s="181">
        <f>IFERROR(HLOOKUP($D40,conversion!$D$16:$D$39,ROWS(conversion!$C$16:$C$39),0),0)</f>
        <v>0</v>
      </c>
      <c r="F40" s="233">
        <v>4750000</v>
      </c>
      <c r="G40" s="233">
        <v>370</v>
      </c>
      <c r="H40" s="55">
        <v>2.4</v>
      </c>
      <c r="I40" s="55">
        <v>340</v>
      </c>
      <c r="J40" s="55">
        <v>450</v>
      </c>
      <c r="K40" s="52"/>
      <c r="L40" s="241">
        <f>_xlfn.XLOOKUP($F$31,input!$A:$A,input!C:C)*F40</f>
        <v>495282500</v>
      </c>
      <c r="O40" s="56"/>
      <c r="P40" s="56"/>
      <c r="Q40" s="57"/>
      <c r="R40" s="58"/>
    </row>
    <row r="41" spans="2:18" x14ac:dyDescent="0.35">
      <c r="B41" s="49" t="s">
        <v>328</v>
      </c>
      <c r="C41" s="49" t="s">
        <v>487</v>
      </c>
      <c r="D41" s="66" t="s">
        <v>440</v>
      </c>
      <c r="E41" s="181">
        <f>IFERROR(HLOOKUP($D41,conversion!$D$16:$D$39,ROWS(conversion!$C$16:$C$39),0),0)</f>
        <v>0</v>
      </c>
      <c r="F41" s="233">
        <v>3950000</v>
      </c>
      <c r="G41" s="233">
        <v>270</v>
      </c>
      <c r="H41" s="55">
        <v>2.4</v>
      </c>
      <c r="I41" s="55">
        <v>340</v>
      </c>
      <c r="J41" s="55">
        <v>450</v>
      </c>
      <c r="K41" s="52"/>
      <c r="L41" s="241">
        <f>_xlfn.XLOOKUP($F$31,input!$A:$A,input!C:C)*F41</f>
        <v>411866500</v>
      </c>
      <c r="O41" s="56"/>
      <c r="P41" s="56"/>
      <c r="Q41" s="57"/>
      <c r="R41" s="58"/>
    </row>
    <row r="42" spans="2:18" x14ac:dyDescent="0.35">
      <c r="B42" s="49" t="s">
        <v>328</v>
      </c>
      <c r="C42" s="49" t="s">
        <v>488</v>
      </c>
      <c r="D42" s="66" t="s">
        <v>441</v>
      </c>
      <c r="E42" s="181">
        <f>IFERROR(HLOOKUP($D42,conversion!$D$16:$D$39,ROWS(conversion!$C$16:$C$39),0),0)</f>
        <v>0</v>
      </c>
      <c r="F42" s="233">
        <v>5950000</v>
      </c>
      <c r="G42" s="233">
        <v>400</v>
      </c>
      <c r="H42" s="55">
        <v>2.4</v>
      </c>
      <c r="I42" s="55">
        <v>340</v>
      </c>
      <c r="J42" s="55">
        <v>450</v>
      </c>
      <c r="K42" s="52"/>
      <c r="L42" s="241">
        <f>_xlfn.XLOOKUP($F$31,input!$A:$A,input!C:C)*F42</f>
        <v>620406500</v>
      </c>
      <c r="O42" s="56"/>
      <c r="P42" s="56"/>
      <c r="Q42" s="57"/>
      <c r="R42" s="58"/>
    </row>
    <row r="43" spans="2:18" x14ac:dyDescent="0.35">
      <c r="B43" s="49"/>
      <c r="C43" s="49"/>
      <c r="D43" s="49"/>
      <c r="E43" s="54"/>
      <c r="F43" s="55"/>
      <c r="G43" s="55"/>
      <c r="H43" s="55"/>
      <c r="I43" s="55"/>
      <c r="J43" s="55"/>
      <c r="L43" s="241">
        <f>_xlfn.XLOOKUP($F$31,input!$A:$A,input!C:C)*F43</f>
        <v>0</v>
      </c>
      <c r="O43" s="56"/>
      <c r="P43" s="56"/>
      <c r="Q43" s="57"/>
      <c r="R43" s="58"/>
    </row>
    <row r="44" spans="2:18" x14ac:dyDescent="0.35">
      <c r="B44" s="49" t="s">
        <v>329</v>
      </c>
      <c r="C44" s="49" t="s">
        <v>339</v>
      </c>
      <c r="D44" s="49" t="s">
        <v>334</v>
      </c>
      <c r="E44" s="76">
        <f>IFERROR(HLOOKUP($D44,conversion!$D$42:$D$52,ROWS(conversion!$C$42:$C$52),0),0)</f>
        <v>3.877446338383838E-2</v>
      </c>
      <c r="F44" s="55">
        <f>500000</f>
        <v>500000</v>
      </c>
      <c r="G44" s="55">
        <v>70</v>
      </c>
      <c r="H44" s="55">
        <v>2.1</v>
      </c>
      <c r="I44" s="55">
        <v>80</v>
      </c>
      <c r="J44" s="55">
        <v>150</v>
      </c>
      <c r="L44" s="241">
        <f>_xlfn.XLOOKUP($F$31,input!$A:$A,input!C:C)*F44</f>
        <v>52135000</v>
      </c>
      <c r="O44" s="56"/>
      <c r="P44" s="56"/>
      <c r="Q44" s="57"/>
      <c r="R44" s="58"/>
    </row>
    <row r="45" spans="2:18" x14ac:dyDescent="0.35">
      <c r="B45" s="49" t="s">
        <v>329</v>
      </c>
      <c r="C45" s="49" t="s">
        <v>509</v>
      </c>
      <c r="D45" s="49" t="s">
        <v>442</v>
      </c>
      <c r="E45" s="76">
        <f>IFERROR(HLOOKUP($D45,conversion!$D$42:$D$52,ROWS(conversion!$C$42:$C$52),0),0)</f>
        <v>0</v>
      </c>
      <c r="F45" s="55">
        <v>977500</v>
      </c>
      <c r="G45" s="55">
        <v>50</v>
      </c>
      <c r="H45" s="55">
        <v>2.1</v>
      </c>
      <c r="I45" s="55">
        <v>80</v>
      </c>
      <c r="J45" s="55">
        <v>150</v>
      </c>
      <c r="L45" s="241">
        <f>_xlfn.XLOOKUP($F$31,input!$A:$A,input!C:C)*F45</f>
        <v>101923925</v>
      </c>
      <c r="O45" s="56"/>
      <c r="P45" s="56"/>
      <c r="Q45" s="57"/>
      <c r="R45" s="58"/>
    </row>
    <row r="46" spans="2:18" x14ac:dyDescent="0.35">
      <c r="B46" s="49" t="s">
        <v>329</v>
      </c>
      <c r="C46" s="49" t="s">
        <v>443</v>
      </c>
      <c r="D46" s="49" t="s">
        <v>443</v>
      </c>
      <c r="E46" s="76">
        <f>IFERROR(HLOOKUP($D46,conversion!$D$42:$D$52,ROWS(conversion!$C$42:$C$52),0),0)</f>
        <v>0</v>
      </c>
      <c r="F46" s="233"/>
      <c r="G46" s="55">
        <v>60</v>
      </c>
      <c r="H46" s="55">
        <v>2.1</v>
      </c>
      <c r="I46" s="55">
        <v>80</v>
      </c>
      <c r="J46" s="55">
        <v>150</v>
      </c>
      <c r="L46" s="241">
        <f>_xlfn.XLOOKUP($F$31,input!$A:$A,input!C:C)*F46</f>
        <v>0</v>
      </c>
      <c r="O46" s="56"/>
      <c r="P46" s="56"/>
      <c r="Q46" s="57"/>
      <c r="R46" s="58"/>
    </row>
    <row r="47" spans="2:18" x14ac:dyDescent="0.35">
      <c r="B47" s="49" t="s">
        <v>329</v>
      </c>
      <c r="C47" s="49" t="s">
        <v>510</v>
      </c>
      <c r="D47" s="49" t="s">
        <v>444</v>
      </c>
      <c r="E47" s="76">
        <f>IFERROR(HLOOKUP($D47,conversion!$D$42:$D$52,ROWS(conversion!$C$42:$C$52),0),0)</f>
        <v>0</v>
      </c>
      <c r="F47" s="55">
        <v>750000</v>
      </c>
      <c r="G47" s="233">
        <v>224</v>
      </c>
      <c r="H47" s="55">
        <v>1.272</v>
      </c>
      <c r="I47" s="55">
        <v>80</v>
      </c>
      <c r="J47" s="55">
        <v>150</v>
      </c>
      <c r="L47" s="241">
        <f>_xlfn.XLOOKUP($F$31,input!$A:$A,input!C:C)*F47</f>
        <v>78202500</v>
      </c>
      <c r="O47" s="56"/>
      <c r="P47" s="56"/>
      <c r="Q47" s="57"/>
      <c r="R47" s="58"/>
    </row>
    <row r="48" spans="2:18" x14ac:dyDescent="0.35">
      <c r="B48" s="49" t="s">
        <v>329</v>
      </c>
      <c r="C48" s="49" t="s">
        <v>511</v>
      </c>
      <c r="D48" s="49" t="s">
        <v>445</v>
      </c>
      <c r="E48" s="76">
        <f>IFERROR(HLOOKUP($D48,conversion!$D$42:$D$52,ROWS(conversion!$C$42:$C$52),0),0)</f>
        <v>0</v>
      </c>
      <c r="F48" s="55">
        <v>750000</v>
      </c>
      <c r="G48" s="233">
        <v>120</v>
      </c>
      <c r="H48" s="55">
        <v>1.8</v>
      </c>
      <c r="I48" s="55">
        <v>80</v>
      </c>
      <c r="J48" s="55">
        <v>150</v>
      </c>
      <c r="L48" s="241">
        <f>_xlfn.XLOOKUP($F$31,input!$A:$A,input!C:C)*F48</f>
        <v>78202500</v>
      </c>
      <c r="O48" s="56"/>
      <c r="P48" s="56"/>
      <c r="Q48" s="57"/>
      <c r="R48" s="58"/>
    </row>
    <row r="49" spans="2:18" x14ac:dyDescent="0.35">
      <c r="B49" s="49" t="s">
        <v>329</v>
      </c>
      <c r="C49" s="163" t="s">
        <v>511</v>
      </c>
      <c r="D49" s="49" t="s">
        <v>446</v>
      </c>
      <c r="E49" s="76">
        <f>IFERROR(HLOOKUP($D49,conversion!$D$42:$D$52,ROWS(conversion!$C$42:$C$52),0),0)</f>
        <v>0</v>
      </c>
      <c r="F49" s="55">
        <v>450000</v>
      </c>
      <c r="G49" s="233">
        <v>200</v>
      </c>
      <c r="H49" s="55">
        <v>2.1</v>
      </c>
      <c r="I49" s="55">
        <v>80</v>
      </c>
      <c r="J49" s="55">
        <v>150</v>
      </c>
      <c r="L49" s="241">
        <f>_xlfn.XLOOKUP($F$31,input!$A:$A,input!C:C)*F49</f>
        <v>46921500</v>
      </c>
      <c r="O49" s="56"/>
      <c r="P49" s="56"/>
      <c r="Q49" s="57"/>
      <c r="R49" s="58"/>
    </row>
    <row r="50" spans="2:18" x14ac:dyDescent="0.35">
      <c r="B50" s="49" t="s">
        <v>329</v>
      </c>
      <c r="C50" s="163" t="s">
        <v>511</v>
      </c>
      <c r="D50" s="49" t="s">
        <v>447</v>
      </c>
      <c r="E50" s="76">
        <f>IFERROR(HLOOKUP($D50,conversion!$D$42:$D$52,ROWS(conversion!$C$42:$C$52),0),0)</f>
        <v>0</v>
      </c>
      <c r="F50" s="55">
        <v>850000</v>
      </c>
      <c r="G50" s="233">
        <v>150</v>
      </c>
      <c r="H50" s="55">
        <v>3.2</v>
      </c>
      <c r="I50" s="55">
        <v>80</v>
      </c>
      <c r="J50" s="55">
        <v>150</v>
      </c>
      <c r="L50" s="241">
        <f>_xlfn.XLOOKUP($F$31,input!$A:$A,input!C:C)*F50</f>
        <v>88629500</v>
      </c>
      <c r="O50" s="56"/>
      <c r="P50" s="56"/>
      <c r="Q50" s="57"/>
      <c r="R50" s="58"/>
    </row>
    <row r="51" spans="2:18" x14ac:dyDescent="0.35">
      <c r="B51" s="49"/>
      <c r="C51" s="49"/>
      <c r="D51" s="49"/>
      <c r="E51" s="54"/>
      <c r="F51" s="55"/>
      <c r="G51" s="55"/>
      <c r="H51" s="55"/>
      <c r="I51" s="55"/>
      <c r="J51" s="55"/>
      <c r="L51" s="241">
        <f>_xlfn.XLOOKUP($F$31,input!$A:$A,input!C:C)*F51</f>
        <v>0</v>
      </c>
      <c r="O51" s="56"/>
      <c r="P51" s="56"/>
      <c r="Q51" s="57"/>
      <c r="R51" s="58"/>
    </row>
    <row r="52" spans="2:18" x14ac:dyDescent="0.35">
      <c r="B52" s="231" t="s">
        <v>330</v>
      </c>
      <c r="C52" s="231" t="s">
        <v>335</v>
      </c>
      <c r="D52" s="231" t="s">
        <v>335</v>
      </c>
      <c r="E52" s="232">
        <f>IFERROR(HLOOKUP($D52,conversion!$D$77:$D$87,ROWS(conversion!$C$77:$C$87),0),0)</f>
        <v>0</v>
      </c>
      <c r="F52" s="233">
        <f>500000</f>
        <v>500000</v>
      </c>
      <c r="G52" s="233">
        <v>70</v>
      </c>
      <c r="H52" s="233">
        <v>2.8</v>
      </c>
      <c r="I52" s="233">
        <v>80</v>
      </c>
      <c r="J52" s="233">
        <v>100</v>
      </c>
      <c r="L52" s="241">
        <f>_xlfn.XLOOKUP($F$31,input!$A:$A,input!C:C)*F52</f>
        <v>52135000</v>
      </c>
      <c r="O52" s="56"/>
      <c r="P52" s="56"/>
      <c r="Q52" s="57"/>
      <c r="R52" s="58"/>
    </row>
    <row r="53" spans="2:18" x14ac:dyDescent="0.35">
      <c r="B53" s="49" t="s">
        <v>330</v>
      </c>
      <c r="C53" s="49" t="s">
        <v>512</v>
      </c>
      <c r="D53" s="49" t="s">
        <v>448</v>
      </c>
      <c r="E53" s="76">
        <f>IFERROR(HLOOKUP($D53,conversion!$D$77:$D$87,ROWS(conversion!$C$77:$C$87),0),0)</f>
        <v>1.7246247194163858E-2</v>
      </c>
      <c r="F53" s="55">
        <v>350000</v>
      </c>
      <c r="G53" s="55">
        <v>9000</v>
      </c>
      <c r="H53" s="55"/>
      <c r="I53" s="55">
        <v>80</v>
      </c>
      <c r="J53" s="55">
        <v>100</v>
      </c>
      <c r="L53" s="241">
        <f>_xlfn.XLOOKUP($F$31,input!$A:$A,input!C:C)*F53</f>
        <v>36494500</v>
      </c>
      <c r="O53" s="56"/>
      <c r="P53" s="56"/>
      <c r="Q53" s="57"/>
      <c r="R53" s="58"/>
    </row>
    <row r="54" spans="2:18" x14ac:dyDescent="0.35">
      <c r="B54" s="49" t="s">
        <v>330</v>
      </c>
      <c r="C54" s="163" t="s">
        <v>512</v>
      </c>
      <c r="D54" s="49" t="s">
        <v>449</v>
      </c>
      <c r="E54" s="76">
        <f>IFERROR(HLOOKUP($D54,conversion!$D$77:$D$87,ROWS(conversion!$C$77:$C$87),0),0)</f>
        <v>0</v>
      </c>
      <c r="F54" s="55">
        <v>300000</v>
      </c>
      <c r="G54" s="55">
        <v>9000</v>
      </c>
      <c r="H54" s="55"/>
      <c r="I54" s="55">
        <v>80</v>
      </c>
      <c r="J54" s="55">
        <v>100</v>
      </c>
      <c r="L54" s="241">
        <f>_xlfn.XLOOKUP($F$31,input!$A:$A,input!C:C)*F54</f>
        <v>31281000</v>
      </c>
      <c r="O54" s="56"/>
      <c r="P54" s="56"/>
      <c r="Q54" s="57"/>
      <c r="R54" s="58"/>
    </row>
    <row r="55" spans="2:18" x14ac:dyDescent="0.35">
      <c r="B55" s="49" t="s">
        <v>330</v>
      </c>
      <c r="C55" s="49" t="s">
        <v>489</v>
      </c>
      <c r="D55" s="49" t="s">
        <v>334</v>
      </c>
      <c r="E55" s="76">
        <f>IFERROR(HLOOKUP($D55,conversion!$D$77:$D$87,ROWS(conversion!$C$77:$C$87),0),0)</f>
        <v>0</v>
      </c>
      <c r="F55" s="55">
        <v>500000</v>
      </c>
      <c r="G55" s="55">
        <v>15000</v>
      </c>
      <c r="H55" s="55"/>
      <c r="I55" s="55">
        <v>80</v>
      </c>
      <c r="J55" s="55">
        <v>100</v>
      </c>
      <c r="L55" s="241">
        <f>_xlfn.XLOOKUP($F$31,input!$A:$A,input!C:C)*F55</f>
        <v>52135000</v>
      </c>
      <c r="O55" s="56"/>
      <c r="P55" s="56"/>
      <c r="Q55" s="57"/>
      <c r="R55" s="58"/>
    </row>
    <row r="56" spans="2:18" x14ac:dyDescent="0.35">
      <c r="B56" s="49" t="s">
        <v>330</v>
      </c>
      <c r="C56" s="163" t="s">
        <v>489</v>
      </c>
      <c r="D56" s="49" t="s">
        <v>450</v>
      </c>
      <c r="E56" s="76">
        <f>IFERROR(HLOOKUP($D56,conversion!$D$77:$D$87,ROWS(conversion!$C$77:$C$87),0),0)</f>
        <v>0</v>
      </c>
      <c r="F56" s="55">
        <v>550000</v>
      </c>
      <c r="G56" s="55">
        <v>9000</v>
      </c>
      <c r="H56" s="55"/>
      <c r="I56" s="55">
        <v>80</v>
      </c>
      <c r="J56" s="55">
        <v>100</v>
      </c>
      <c r="L56" s="241">
        <f>_xlfn.XLOOKUP($F$31,input!$A:$A,input!C:C)*F56</f>
        <v>57348500</v>
      </c>
      <c r="O56" s="56"/>
      <c r="P56" s="56"/>
      <c r="Q56" s="57"/>
      <c r="R56" s="58"/>
    </row>
    <row r="57" spans="2:18" x14ac:dyDescent="0.35">
      <c r="B57" s="49" t="s">
        <v>330</v>
      </c>
      <c r="C57" s="163" t="s">
        <v>489</v>
      </c>
      <c r="D57" s="49" t="s">
        <v>451</v>
      </c>
      <c r="E57" s="76">
        <f>IFERROR(HLOOKUP($D57,conversion!$D$77:$D$87,ROWS(conversion!$C$77:$C$87),0),0)</f>
        <v>0</v>
      </c>
      <c r="F57" s="55">
        <v>650000</v>
      </c>
      <c r="G57" s="55">
        <v>6000</v>
      </c>
      <c r="H57" s="55"/>
      <c r="I57" s="55">
        <v>80</v>
      </c>
      <c r="J57" s="55">
        <v>100</v>
      </c>
      <c r="L57" s="241">
        <f>_xlfn.XLOOKUP($F$31,input!$A:$A,input!C:C)*F57</f>
        <v>67775500</v>
      </c>
      <c r="O57" s="56"/>
      <c r="P57" s="56"/>
      <c r="Q57" s="57"/>
      <c r="R57" s="58"/>
    </row>
    <row r="58" spans="2:18" x14ac:dyDescent="0.35">
      <c r="B58" s="49" t="s">
        <v>330</v>
      </c>
      <c r="C58" s="49" t="s">
        <v>513</v>
      </c>
      <c r="D58" s="49" t="s">
        <v>452</v>
      </c>
      <c r="E58" s="76">
        <f>IFERROR(HLOOKUP($D58,conversion!$D$77:$D$87,ROWS(conversion!$C$77:$C$87),0),0)</f>
        <v>0</v>
      </c>
      <c r="F58" s="55">
        <v>1045000</v>
      </c>
      <c r="G58" s="233">
        <v>66</v>
      </c>
      <c r="H58" s="55">
        <v>2.8</v>
      </c>
      <c r="I58" s="55">
        <v>80</v>
      </c>
      <c r="J58" s="55">
        <v>100</v>
      </c>
      <c r="L58" s="241">
        <f>_xlfn.XLOOKUP($F$31,input!$A:$A,input!C:C)*F58</f>
        <v>108962150</v>
      </c>
      <c r="O58" s="56"/>
      <c r="P58" s="56"/>
      <c r="Q58" s="57"/>
      <c r="R58" s="58"/>
    </row>
    <row r="59" spans="2:18" x14ac:dyDescent="0.35">
      <c r="B59" s="49" t="s">
        <v>330</v>
      </c>
      <c r="C59" s="49" t="s">
        <v>514</v>
      </c>
      <c r="D59" s="49" t="s">
        <v>453</v>
      </c>
      <c r="E59" s="76">
        <f>IFERROR(HLOOKUP($D59,conversion!$D$77:$D$87,ROWS(conversion!$C$77:$C$87),0),0)</f>
        <v>0</v>
      </c>
      <c r="F59" s="233"/>
      <c r="G59" s="233">
        <v>63</v>
      </c>
      <c r="H59" s="55">
        <v>1</v>
      </c>
      <c r="I59" s="55">
        <v>80</v>
      </c>
      <c r="J59" s="55">
        <v>100</v>
      </c>
      <c r="L59" s="241">
        <f>_xlfn.XLOOKUP($F$31,input!$A:$A,input!C:C)*F59</f>
        <v>0</v>
      </c>
      <c r="O59" s="56"/>
      <c r="P59" s="56"/>
      <c r="Q59" s="57"/>
      <c r="R59" s="58"/>
    </row>
    <row r="60" spans="2:18" x14ac:dyDescent="0.35">
      <c r="B60" s="49" t="s">
        <v>330</v>
      </c>
      <c r="C60" s="163" t="s">
        <v>513</v>
      </c>
      <c r="D60" s="49" t="s">
        <v>454</v>
      </c>
      <c r="E60" s="76">
        <f>IFERROR(HLOOKUP($D60,conversion!$D$77:$D$87,ROWS(conversion!$C$77:$C$87),0),0)</f>
        <v>0</v>
      </c>
      <c r="F60" s="55">
        <v>1150000</v>
      </c>
      <c r="G60" s="233">
        <v>63</v>
      </c>
      <c r="H60" s="55">
        <v>1.2</v>
      </c>
      <c r="I60" s="55">
        <v>80</v>
      </c>
      <c r="J60" s="55">
        <v>100</v>
      </c>
      <c r="L60" s="241">
        <f>_xlfn.XLOOKUP($F$31,input!$A:$A,input!C:C)*F60</f>
        <v>119910500</v>
      </c>
      <c r="O60" s="56"/>
      <c r="P60" s="56"/>
      <c r="Q60" s="57"/>
      <c r="R60" s="58"/>
    </row>
    <row r="61" spans="2:18" x14ac:dyDescent="0.35">
      <c r="B61" s="49" t="s">
        <v>330</v>
      </c>
      <c r="C61" s="49" t="s">
        <v>335</v>
      </c>
      <c r="D61" s="49" t="s">
        <v>455</v>
      </c>
      <c r="E61" s="76">
        <f>IFERROR(HLOOKUP($D61,conversion!$D$77:$D$87,ROWS(conversion!$C$77:$C$87),0),0)</f>
        <v>0</v>
      </c>
      <c r="F61" s="55">
        <v>850000</v>
      </c>
      <c r="G61" s="55">
        <v>11000</v>
      </c>
      <c r="H61" s="55"/>
      <c r="I61" s="55">
        <v>80</v>
      </c>
      <c r="J61" s="55">
        <v>100</v>
      </c>
      <c r="L61" s="241">
        <f>_xlfn.XLOOKUP($F$31,input!$A:$A,input!C:C)*F61</f>
        <v>88629500</v>
      </c>
      <c r="O61" s="56"/>
      <c r="P61" s="56"/>
      <c r="Q61" s="57"/>
      <c r="R61" s="58"/>
    </row>
    <row r="62" spans="2:18" x14ac:dyDescent="0.35">
      <c r="B62" s="49" t="s">
        <v>330</v>
      </c>
      <c r="C62" s="163" t="s">
        <v>335</v>
      </c>
      <c r="D62" s="49" t="s">
        <v>456</v>
      </c>
      <c r="E62" s="76">
        <f>IFERROR(HLOOKUP($D62,conversion!$D$77:$D$87,ROWS(conversion!$C$77:$C$87),0),0)</f>
        <v>0</v>
      </c>
      <c r="F62" s="55">
        <v>700000</v>
      </c>
      <c r="G62" s="55">
        <v>10000</v>
      </c>
      <c r="H62" s="55"/>
      <c r="I62" s="55">
        <v>80</v>
      </c>
      <c r="J62" s="55">
        <v>100</v>
      </c>
      <c r="L62" s="241">
        <f>_xlfn.XLOOKUP($F$31,input!$A:$A,input!C:C)*F62</f>
        <v>72989000</v>
      </c>
      <c r="O62" s="56"/>
      <c r="P62" s="56"/>
      <c r="Q62" s="57"/>
      <c r="R62" s="58"/>
    </row>
    <row r="63" spans="2:18" x14ac:dyDescent="0.35">
      <c r="B63" s="49" t="s">
        <v>330</v>
      </c>
      <c r="C63" s="49" t="s">
        <v>488</v>
      </c>
      <c r="D63" s="49" t="s">
        <v>457</v>
      </c>
      <c r="E63" s="76">
        <f>IFERROR(HLOOKUP($D63,conversion!$D$77:$D$87,ROWS(conversion!$C$77:$C$87),0),0)</f>
        <v>0</v>
      </c>
      <c r="F63" s="55">
        <v>760000</v>
      </c>
      <c r="G63" s="233">
        <v>37</v>
      </c>
      <c r="H63" s="55">
        <v>1</v>
      </c>
      <c r="I63" s="55">
        <v>80</v>
      </c>
      <c r="J63" s="55">
        <v>100</v>
      </c>
      <c r="L63" s="241">
        <f>_xlfn.XLOOKUP($F$31,input!$A:$A,input!C:C)*F63</f>
        <v>79245200</v>
      </c>
      <c r="O63" s="56"/>
      <c r="P63" s="56"/>
      <c r="Q63" s="57"/>
      <c r="R63" s="58"/>
    </row>
    <row r="64" spans="2:18" x14ac:dyDescent="0.35">
      <c r="B64" s="49" t="s">
        <v>330</v>
      </c>
      <c r="C64" s="163" t="s">
        <v>488</v>
      </c>
      <c r="D64" s="49" t="s">
        <v>458</v>
      </c>
      <c r="E64" s="76">
        <f>IFERROR(HLOOKUP($D64,conversion!$D$77:$D$87,ROWS(conversion!$C$77:$C$87),0),0)</f>
        <v>0</v>
      </c>
      <c r="F64" s="55">
        <v>660000</v>
      </c>
      <c r="G64" s="233">
        <v>34</v>
      </c>
      <c r="H64" s="55">
        <v>0.8</v>
      </c>
      <c r="I64" s="55">
        <v>80</v>
      </c>
      <c r="J64" s="55">
        <v>100</v>
      </c>
      <c r="L64" s="241">
        <f>_xlfn.XLOOKUP($F$31,input!$A:$A,input!C:C)*F64</f>
        <v>68818200</v>
      </c>
      <c r="O64" s="56"/>
      <c r="P64" s="56"/>
      <c r="Q64" s="57"/>
      <c r="R64" s="58"/>
    </row>
    <row r="65" spans="2:18" x14ac:dyDescent="0.35">
      <c r="B65" s="49"/>
      <c r="C65" s="49"/>
      <c r="D65" s="49"/>
      <c r="E65" s="54"/>
      <c r="F65" s="55"/>
      <c r="G65" s="55"/>
      <c r="H65" s="55"/>
      <c r="I65" s="55"/>
      <c r="J65" s="55"/>
      <c r="L65" s="241">
        <f>_xlfn.XLOOKUP($F$31,input!$A:$A,input!C:C)*F65</f>
        <v>0</v>
      </c>
      <c r="O65" s="56"/>
      <c r="P65" s="56"/>
      <c r="Q65" s="57"/>
      <c r="R65" s="58"/>
    </row>
    <row r="66" spans="2:18" x14ac:dyDescent="0.35">
      <c r="B66" s="49" t="s">
        <v>331</v>
      </c>
      <c r="C66" s="49" t="s">
        <v>338</v>
      </c>
      <c r="D66" s="49" t="s">
        <v>336</v>
      </c>
      <c r="E66" s="76">
        <f>IFERROR(HLOOKUP($D66,conversion!$D$78:$D$87,ROWS(conversion!$C$78:$C$87),0),0)</f>
        <v>1.7246247194163858E-2</v>
      </c>
      <c r="F66" s="55">
        <f>800000</f>
        <v>800000</v>
      </c>
      <c r="G66" s="55">
        <v>7000</v>
      </c>
      <c r="H66" s="55"/>
      <c r="I66" s="55">
        <v>100</v>
      </c>
      <c r="J66" s="55">
        <v>150</v>
      </c>
      <c r="K66" s="46" t="s">
        <v>518</v>
      </c>
      <c r="L66" s="241">
        <f>_xlfn.XLOOKUP($F$31,input!$A:$A,input!C:C)*F66</f>
        <v>83416000</v>
      </c>
      <c r="O66" s="56"/>
      <c r="P66" s="56"/>
      <c r="Q66" s="57"/>
      <c r="R66" s="58"/>
    </row>
    <row r="67" spans="2:18" x14ac:dyDescent="0.35">
      <c r="B67" s="49" t="s">
        <v>331</v>
      </c>
      <c r="C67" s="49" t="s">
        <v>338</v>
      </c>
      <c r="D67" s="49" t="s">
        <v>459</v>
      </c>
      <c r="E67" s="76">
        <f>IFERROR(HLOOKUP($D67,conversion!$D$78:$D$87,ROWS(conversion!$C$78:$C$87),0),0)</f>
        <v>0</v>
      </c>
      <c r="F67" s="55">
        <v>750000</v>
      </c>
      <c r="G67" s="55">
        <v>2500</v>
      </c>
      <c r="H67" s="55"/>
      <c r="I67" s="55">
        <v>100</v>
      </c>
      <c r="J67" s="55">
        <v>150</v>
      </c>
      <c r="K67" s="166" t="s">
        <v>518</v>
      </c>
      <c r="L67" s="241">
        <f>_xlfn.XLOOKUP($F$31,input!$A:$A,input!C:C)*F67</f>
        <v>78202500</v>
      </c>
      <c r="O67" s="56"/>
      <c r="P67" s="56"/>
      <c r="Q67" s="57"/>
      <c r="R67" s="58"/>
    </row>
    <row r="68" spans="2:18" x14ac:dyDescent="0.35">
      <c r="B68" s="49" t="s">
        <v>331</v>
      </c>
      <c r="C68" s="49" t="s">
        <v>338</v>
      </c>
      <c r="D68" s="49" t="s">
        <v>460</v>
      </c>
      <c r="E68" s="76">
        <f>IFERROR(HLOOKUP($D68,conversion!$D$78:$D$87,ROWS(conversion!$C$78:$C$87),0),0)</f>
        <v>0</v>
      </c>
      <c r="F68" s="55">
        <v>722891.56626506022</v>
      </c>
      <c r="G68" s="233">
        <v>18000</v>
      </c>
      <c r="H68" s="55"/>
      <c r="I68" s="55">
        <v>100</v>
      </c>
      <c r="J68" s="55">
        <v>150</v>
      </c>
      <c r="K68" s="166" t="s">
        <v>518</v>
      </c>
      <c r="L68" s="241">
        <f>_xlfn.XLOOKUP($F$31,input!$A:$A,input!C:C)*F68</f>
        <v>75375903.614457831</v>
      </c>
      <c r="O68" s="56"/>
      <c r="P68" s="56"/>
      <c r="Q68" s="57"/>
      <c r="R68" s="58"/>
    </row>
    <row r="69" spans="2:18" x14ac:dyDescent="0.35">
      <c r="B69" s="49" t="s">
        <v>331</v>
      </c>
      <c r="C69" s="49" t="s">
        <v>488</v>
      </c>
      <c r="D69" s="49" t="s">
        <v>461</v>
      </c>
      <c r="E69" s="76">
        <f>IFERROR(HLOOKUP($D69,conversion!$D$78:$D$87,ROWS(conversion!$C$78:$C$87),0),0)</f>
        <v>0</v>
      </c>
      <c r="F69" s="233">
        <v>1000000</v>
      </c>
      <c r="G69" s="233">
        <v>1600</v>
      </c>
      <c r="H69" s="55"/>
      <c r="I69" s="55">
        <v>100</v>
      </c>
      <c r="J69" s="55">
        <v>150</v>
      </c>
      <c r="K69" s="166" t="s">
        <v>518</v>
      </c>
      <c r="L69" s="241">
        <f>_xlfn.XLOOKUP($F$31,input!$A:$A,input!C:C)*F69</f>
        <v>104270000</v>
      </c>
      <c r="O69" s="56"/>
      <c r="P69" s="56"/>
      <c r="Q69" s="57"/>
      <c r="R69" s="58"/>
    </row>
    <row r="70" spans="2:18" x14ac:dyDescent="0.35">
      <c r="B70" s="49"/>
      <c r="C70" s="49"/>
      <c r="D70" s="49"/>
      <c r="E70" s="54"/>
      <c r="F70" s="55"/>
      <c r="G70" s="55"/>
      <c r="H70" s="55"/>
      <c r="I70" s="55"/>
      <c r="J70" s="55"/>
      <c r="L70" s="241">
        <f>_xlfn.XLOOKUP($F$31,input!$A:$A,input!C:C)*F70</f>
        <v>0</v>
      </c>
      <c r="O70" s="56"/>
      <c r="P70" s="56"/>
      <c r="Q70" s="57"/>
      <c r="R70" s="58"/>
    </row>
    <row r="71" spans="2:18" x14ac:dyDescent="0.35">
      <c r="B71" s="49" t="s">
        <v>332</v>
      </c>
      <c r="C71" s="49" t="s">
        <v>335</v>
      </c>
      <c r="D71" s="49" t="s">
        <v>337</v>
      </c>
      <c r="E71" s="76">
        <f>IFERROR(HLOOKUP($D71,conversion!$D$90:$D$100,ROWS(conversion!$C$90:$C$100),0),0)</f>
        <v>0</v>
      </c>
      <c r="F71" s="55">
        <f>1000000</f>
        <v>1000000</v>
      </c>
      <c r="G71" s="55">
        <v>18000</v>
      </c>
      <c r="H71" s="55"/>
      <c r="I71" s="55">
        <v>80</v>
      </c>
      <c r="J71" s="55">
        <v>300</v>
      </c>
      <c r="L71" s="241">
        <f>_xlfn.XLOOKUP($F$31,input!$A:$A,input!C:C)*F71</f>
        <v>104270000</v>
      </c>
      <c r="O71" s="56"/>
      <c r="P71" s="56"/>
      <c r="Q71" s="57"/>
      <c r="R71" s="58"/>
    </row>
    <row r="72" spans="2:18" x14ac:dyDescent="0.35">
      <c r="B72" s="49" t="s">
        <v>332</v>
      </c>
      <c r="C72" s="49" t="s">
        <v>335</v>
      </c>
      <c r="D72" s="49" t="s">
        <v>462</v>
      </c>
      <c r="E72" s="76">
        <f>IFERROR(HLOOKUP($D72,conversion!$D$90:$D$100,ROWS(conversion!$C$90:$C$100),0),0)</f>
        <v>0</v>
      </c>
      <c r="F72" s="55">
        <v>1000000</v>
      </c>
      <c r="G72" s="55">
        <v>15000</v>
      </c>
      <c r="H72" s="55"/>
      <c r="I72" s="55">
        <v>80</v>
      </c>
      <c r="J72" s="55">
        <v>300</v>
      </c>
      <c r="L72" s="241">
        <f>_xlfn.XLOOKUP($F$31,input!$A:$A,input!C:C)*F72</f>
        <v>104270000</v>
      </c>
      <c r="O72" s="56"/>
      <c r="P72" s="56"/>
      <c r="Q72" s="57"/>
      <c r="R72" s="58"/>
    </row>
    <row r="73" spans="2:18" x14ac:dyDescent="0.35">
      <c r="B73" s="49" t="s">
        <v>332</v>
      </c>
      <c r="C73" s="49" t="s">
        <v>335</v>
      </c>
      <c r="D73" s="49" t="s">
        <v>456</v>
      </c>
      <c r="E73" s="76">
        <f>IFERROR(HLOOKUP($D73,conversion!$D$90:$D$100,ROWS(conversion!$C$90:$C$100),0),0)</f>
        <v>1.5615004208754205E-2</v>
      </c>
      <c r="F73" s="55">
        <v>850000</v>
      </c>
      <c r="G73" s="55">
        <v>13000</v>
      </c>
      <c r="H73" s="55"/>
      <c r="I73" s="55">
        <v>80</v>
      </c>
      <c r="J73" s="55">
        <v>300</v>
      </c>
      <c r="L73" s="241">
        <f>_xlfn.XLOOKUP($F$31,input!$A:$A,input!C:C)*F73</f>
        <v>88629500</v>
      </c>
      <c r="O73" s="56"/>
      <c r="P73" s="56"/>
      <c r="Q73" s="57"/>
      <c r="R73" s="58"/>
    </row>
    <row r="74" spans="2:18" x14ac:dyDescent="0.35">
      <c r="B74" s="49" t="s">
        <v>332</v>
      </c>
      <c r="C74" s="163" t="s">
        <v>488</v>
      </c>
      <c r="D74" s="49" t="s">
        <v>463</v>
      </c>
      <c r="E74" s="76">
        <f>IFERROR(HLOOKUP($D74,conversion!$D$90:$D$100,ROWS(conversion!$C$90:$C$100),0),0)</f>
        <v>0</v>
      </c>
      <c r="F74" s="55">
        <v>1200000</v>
      </c>
      <c r="G74" s="55">
        <v>24000</v>
      </c>
      <c r="H74" s="55"/>
      <c r="I74" s="55">
        <v>80</v>
      </c>
      <c r="J74" s="55">
        <v>300</v>
      </c>
      <c r="L74" s="241">
        <f>_xlfn.XLOOKUP($F$31,input!$A:$A,input!C:C)*F74</f>
        <v>125124000</v>
      </c>
      <c r="O74" s="56"/>
      <c r="P74" s="56"/>
      <c r="Q74" s="57"/>
      <c r="R74" s="58"/>
    </row>
    <row r="75" spans="2:18" x14ac:dyDescent="0.35">
      <c r="B75" s="49" t="s">
        <v>332</v>
      </c>
      <c r="C75" s="163" t="s">
        <v>488</v>
      </c>
      <c r="D75" s="49" t="s">
        <v>464</v>
      </c>
      <c r="E75" s="76">
        <f>IFERROR(HLOOKUP($D75,conversion!$D$90:$D$100,ROWS(conversion!$C$90:$C$100),0),0)</f>
        <v>0</v>
      </c>
      <c r="F75" s="55">
        <v>1200000</v>
      </c>
      <c r="G75" s="55">
        <v>21000</v>
      </c>
      <c r="H75" s="55"/>
      <c r="I75" s="55">
        <v>80</v>
      </c>
      <c r="J75" s="55">
        <v>300</v>
      </c>
      <c r="L75" s="241">
        <f>_xlfn.XLOOKUP($F$31,input!$A:$A,input!C:C)*F75</f>
        <v>125124000</v>
      </c>
      <c r="O75" s="56"/>
      <c r="P75" s="56"/>
      <c r="Q75" s="57"/>
      <c r="R75" s="58"/>
    </row>
    <row r="76" spans="2:18" x14ac:dyDescent="0.35">
      <c r="B76" s="49" t="s">
        <v>332</v>
      </c>
      <c r="C76" s="163" t="s">
        <v>488</v>
      </c>
      <c r="D76" s="49" t="s">
        <v>465</v>
      </c>
      <c r="E76" s="76">
        <f>IFERROR(HLOOKUP($D76,conversion!$D$90:$D$100,ROWS(conversion!$C$90:$C$100),0),0)</f>
        <v>0</v>
      </c>
      <c r="F76" s="55">
        <v>1200000</v>
      </c>
      <c r="G76" s="55">
        <v>19800</v>
      </c>
      <c r="H76" s="55"/>
      <c r="I76" s="55">
        <v>80</v>
      </c>
      <c r="J76" s="55">
        <v>300</v>
      </c>
      <c r="L76" s="241">
        <f>_xlfn.XLOOKUP($F$31,input!$A:$A,input!C:C)*F76</f>
        <v>125124000</v>
      </c>
      <c r="O76" s="56"/>
      <c r="P76" s="56"/>
      <c r="Q76" s="57"/>
      <c r="R76" s="58"/>
    </row>
    <row r="77" spans="2:18" x14ac:dyDescent="0.35">
      <c r="B77" s="49"/>
      <c r="C77" s="49"/>
      <c r="D77" s="49"/>
      <c r="E77" s="54"/>
      <c r="F77" s="55"/>
      <c r="G77" s="55"/>
      <c r="H77" s="55"/>
      <c r="I77" s="55"/>
      <c r="J77" s="55"/>
      <c r="L77" s="241">
        <f>_xlfn.XLOOKUP($F$31,input!$A:$A,input!C:C)*F77</f>
        <v>0</v>
      </c>
      <c r="O77" s="56"/>
      <c r="P77" s="56"/>
      <c r="Q77" s="57"/>
      <c r="R77" s="58"/>
    </row>
    <row r="78" spans="2:18" x14ac:dyDescent="0.35">
      <c r="B78" s="26"/>
    </row>
    <row r="79" spans="2:18" x14ac:dyDescent="0.35">
      <c r="B79" s="49" t="s">
        <v>266</v>
      </c>
      <c r="C79" s="49" t="s">
        <v>267</v>
      </c>
      <c r="D79" s="49">
        <v>1200</v>
      </c>
      <c r="E79" s="49" t="s">
        <v>268</v>
      </c>
      <c r="F79" s="59">
        <f>D79*D80/10^6</f>
        <v>1.2</v>
      </c>
    </row>
    <row r="80" spans="2:18" x14ac:dyDescent="0.35">
      <c r="B80" s="49"/>
      <c r="C80" s="49" t="s">
        <v>269</v>
      </c>
      <c r="D80" s="49">
        <v>1000</v>
      </c>
      <c r="E80" s="49" t="s">
        <v>270</v>
      </c>
      <c r="F80" s="59">
        <f>D80*D81/10^6</f>
        <v>1.1000000000000001</v>
      </c>
    </row>
    <row r="81" spans="2:7" x14ac:dyDescent="0.35">
      <c r="B81" s="49"/>
      <c r="C81" s="49" t="s">
        <v>271</v>
      </c>
      <c r="D81" s="49">
        <v>1100</v>
      </c>
      <c r="E81" s="49" t="s">
        <v>272</v>
      </c>
      <c r="F81" s="59">
        <f>D79*D81/10^6</f>
        <v>1.32</v>
      </c>
    </row>
    <row r="82" spans="2:7" x14ac:dyDescent="0.35">
      <c r="B82" s="49"/>
      <c r="C82" s="49"/>
      <c r="D82" s="49"/>
      <c r="E82" s="49"/>
      <c r="F82" s="59">
        <f>2*(SUM(F79:F81))</f>
        <v>7.24</v>
      </c>
      <c r="G82" s="46" t="s">
        <v>273</v>
      </c>
    </row>
    <row r="84" spans="2:7" x14ac:dyDescent="0.35">
      <c r="B84" s="26" t="s">
        <v>274</v>
      </c>
      <c r="D84" s="46" t="s">
        <v>275</v>
      </c>
    </row>
    <row r="86" spans="2:7" x14ac:dyDescent="0.35">
      <c r="B86" s="49" t="s">
        <v>276</v>
      </c>
      <c r="C86" s="60">
        <v>0</v>
      </c>
    </row>
    <row r="87" spans="2:7" x14ac:dyDescent="0.35">
      <c r="B87" s="49" t="s">
        <v>277</v>
      </c>
      <c r="C87" s="60">
        <v>5.0000000000000001E-3</v>
      </c>
    </row>
    <row r="88" spans="2:7" x14ac:dyDescent="0.35">
      <c r="B88" s="49" t="s">
        <v>278</v>
      </c>
      <c r="C88" s="60">
        <v>6.9999999999999999E-4</v>
      </c>
    </row>
    <row r="89" spans="2:7" x14ac:dyDescent="0.35">
      <c r="B89" s="49" t="s">
        <v>279</v>
      </c>
      <c r="C89" s="60">
        <v>2.0000000000000001E-4</v>
      </c>
    </row>
    <row r="90" spans="2:7" x14ac:dyDescent="0.35">
      <c r="B90" s="49" t="s">
        <v>280</v>
      </c>
      <c r="C90" s="60">
        <v>8.0000000000000004E-4</v>
      </c>
    </row>
    <row r="91" spans="2:7" x14ac:dyDescent="0.35">
      <c r="B91" s="49" t="s">
        <v>281</v>
      </c>
      <c r="C91" s="60">
        <v>1.1000000000000001E-3</v>
      </c>
    </row>
    <row r="92" spans="2:7" x14ac:dyDescent="0.35">
      <c r="B92" s="49" t="s">
        <v>282</v>
      </c>
      <c r="C92" s="60">
        <v>6.9999999999999999E-4</v>
      </c>
    </row>
    <row r="93" spans="2:7" x14ac:dyDescent="0.35">
      <c r="B93" s="49" t="s">
        <v>283</v>
      </c>
      <c r="C93" s="60">
        <v>0.01</v>
      </c>
    </row>
    <row r="94" spans="2:7" x14ac:dyDescent="0.35">
      <c r="B94" s="49" t="s">
        <v>284</v>
      </c>
      <c r="C94" s="60">
        <v>2.5000000000000001E-2</v>
      </c>
    </row>
    <row r="95" spans="2:7" x14ac:dyDescent="0.35">
      <c r="B95" s="32" t="s">
        <v>9</v>
      </c>
      <c r="C95" s="33">
        <f>SUM(C86:C94)</f>
        <v>4.3500000000000004E-2</v>
      </c>
    </row>
    <row r="96" spans="2:7" x14ac:dyDescent="0.35">
      <c r="B96" s="26"/>
      <c r="C96" s="37"/>
    </row>
    <row r="97" spans="2:7" x14ac:dyDescent="0.35">
      <c r="B97" s="26"/>
      <c r="C97" s="37"/>
    </row>
    <row r="98" spans="2:7" x14ac:dyDescent="0.35">
      <c r="B98" s="30" t="s">
        <v>378</v>
      </c>
      <c r="C98" s="183" t="s">
        <v>379</v>
      </c>
      <c r="D98" s="184" t="s">
        <v>380</v>
      </c>
      <c r="E98" s="184" t="s">
        <v>381</v>
      </c>
      <c r="F98" s="184" t="s">
        <v>382</v>
      </c>
      <c r="G98" s="184" t="s">
        <v>383</v>
      </c>
    </row>
    <row r="99" spans="2:7" x14ac:dyDescent="0.35">
      <c r="B99" s="32">
        <v>1</v>
      </c>
      <c r="C99" s="185" t="s">
        <v>324</v>
      </c>
      <c r="D99" s="49" t="s">
        <v>384</v>
      </c>
      <c r="E99" s="49">
        <v>25</v>
      </c>
      <c r="F99" s="49">
        <v>5</v>
      </c>
      <c r="G99" s="49">
        <v>1</v>
      </c>
    </row>
    <row r="100" spans="2:7" x14ac:dyDescent="0.35">
      <c r="B100" s="32">
        <v>2</v>
      </c>
      <c r="C100" s="185" t="s">
        <v>324</v>
      </c>
      <c r="D100" s="49" t="s">
        <v>385</v>
      </c>
      <c r="E100" s="49">
        <v>50</v>
      </c>
      <c r="F100" s="49">
        <v>9</v>
      </c>
      <c r="G100" s="49">
        <v>2</v>
      </c>
    </row>
    <row r="101" spans="2:7" x14ac:dyDescent="0.35">
      <c r="B101" s="32">
        <v>3</v>
      </c>
      <c r="C101" s="185" t="s">
        <v>324</v>
      </c>
      <c r="D101" s="49" t="s">
        <v>386</v>
      </c>
      <c r="E101" s="49">
        <v>75</v>
      </c>
      <c r="F101" s="49">
        <v>13</v>
      </c>
      <c r="G101" s="49">
        <v>3</v>
      </c>
    </row>
    <row r="102" spans="2:7" x14ac:dyDescent="0.35">
      <c r="B102" s="32">
        <v>4</v>
      </c>
      <c r="C102" s="185" t="s">
        <v>324</v>
      </c>
      <c r="D102" s="49" t="s">
        <v>387</v>
      </c>
      <c r="E102" s="49">
        <v>85</v>
      </c>
      <c r="F102" s="49">
        <v>17</v>
      </c>
      <c r="G102" s="49">
        <v>4</v>
      </c>
    </row>
    <row r="103" spans="2:7" x14ac:dyDescent="0.35">
      <c r="B103" s="32">
        <v>5</v>
      </c>
      <c r="C103" s="185" t="s">
        <v>324</v>
      </c>
      <c r="D103" s="49" t="s">
        <v>388</v>
      </c>
      <c r="E103" s="49">
        <v>95</v>
      </c>
      <c r="F103" s="49">
        <v>21</v>
      </c>
      <c r="G103" s="49">
        <v>5</v>
      </c>
    </row>
    <row r="104" spans="2:7" x14ac:dyDescent="0.35">
      <c r="B104" s="32">
        <v>6</v>
      </c>
      <c r="C104" s="185" t="s">
        <v>324</v>
      </c>
      <c r="D104" s="49" t="s">
        <v>389</v>
      </c>
      <c r="E104" s="49">
        <v>105</v>
      </c>
      <c r="F104" s="49">
        <v>25</v>
      </c>
      <c r="G104" s="49">
        <v>6</v>
      </c>
    </row>
    <row r="105" spans="2:7" x14ac:dyDescent="0.35">
      <c r="B105" s="32"/>
      <c r="C105" s="185"/>
      <c r="D105" s="49"/>
      <c r="E105" s="49"/>
      <c r="F105" s="49"/>
      <c r="G105" s="49"/>
    </row>
    <row r="106" spans="2:7" x14ac:dyDescent="0.35">
      <c r="B106" s="32"/>
      <c r="C106" s="185"/>
      <c r="D106" s="49" t="s">
        <v>323</v>
      </c>
      <c r="E106" s="49">
        <v>35</v>
      </c>
      <c r="F106" s="49"/>
      <c r="G106" s="49"/>
    </row>
    <row r="107" spans="2:7" x14ac:dyDescent="0.35">
      <c r="B107" s="32"/>
      <c r="C107" s="185"/>
      <c r="D107" s="49" t="s">
        <v>325</v>
      </c>
      <c r="E107" s="49">
        <v>25</v>
      </c>
      <c r="F107" s="49"/>
      <c r="G107" s="49"/>
    </row>
    <row r="108" spans="2:7" x14ac:dyDescent="0.35">
      <c r="B108" s="32"/>
      <c r="C108" s="185"/>
      <c r="D108" s="49"/>
      <c r="E108" s="49"/>
      <c r="F108" s="49"/>
      <c r="G108" s="49"/>
    </row>
    <row r="109" spans="2:7" x14ac:dyDescent="0.35">
      <c r="B109" s="32" t="s">
        <v>390</v>
      </c>
      <c r="C109" s="185" t="s">
        <v>391</v>
      </c>
      <c r="D109" s="49" t="s">
        <v>323</v>
      </c>
      <c r="E109" s="49">
        <v>35</v>
      </c>
      <c r="F109" s="49"/>
      <c r="G109" s="49"/>
    </row>
    <row r="110" spans="2:7" x14ac:dyDescent="0.35">
      <c r="B110" s="32"/>
      <c r="C110" s="185" t="s">
        <v>391</v>
      </c>
      <c r="D110" s="49" t="s">
        <v>325</v>
      </c>
      <c r="E110" s="49">
        <v>35</v>
      </c>
      <c r="F110" s="49"/>
      <c r="G110" s="49"/>
    </row>
    <row r="111" spans="2:7" x14ac:dyDescent="0.35">
      <c r="B111" s="32"/>
      <c r="C111" s="185"/>
      <c r="D111" s="49"/>
      <c r="E111" s="49"/>
      <c r="F111" s="49"/>
      <c r="G111" s="49"/>
    </row>
    <row r="112" spans="2:7" x14ac:dyDescent="0.35">
      <c r="B112" s="26"/>
      <c r="C112" s="37"/>
    </row>
    <row r="113" spans="1:9" x14ac:dyDescent="0.35">
      <c r="B113" s="32" t="s">
        <v>294</v>
      </c>
      <c r="C113" s="49">
        <v>5000</v>
      </c>
    </row>
    <row r="114" spans="1:9" x14ac:dyDescent="0.35">
      <c r="B114" s="26"/>
    </row>
    <row r="115" spans="1:9" x14ac:dyDescent="0.35">
      <c r="B115" s="26"/>
    </row>
    <row r="116" spans="1:9" x14ac:dyDescent="0.35">
      <c r="B116" s="26"/>
    </row>
    <row r="118" spans="1:9" x14ac:dyDescent="0.35">
      <c r="A118" s="61"/>
      <c r="B118" s="3" t="s">
        <v>295</v>
      </c>
      <c r="C118" s="61"/>
      <c r="D118" s="61"/>
      <c r="E118" s="61"/>
      <c r="F118" s="61"/>
      <c r="G118" s="61"/>
      <c r="H118" s="61"/>
      <c r="I118" s="61"/>
    </row>
    <row r="119" spans="1:9" x14ac:dyDescent="0.35">
      <c r="A119" s="61"/>
      <c r="B119" s="61"/>
      <c r="C119" s="61"/>
      <c r="D119" s="61"/>
      <c r="E119" s="61"/>
      <c r="F119" s="61"/>
      <c r="G119" s="61"/>
      <c r="H119" s="61"/>
      <c r="I119" s="61"/>
    </row>
    <row r="120" spans="1:9" x14ac:dyDescent="0.35">
      <c r="A120" s="61"/>
      <c r="B120" s="13" t="s">
        <v>296</v>
      </c>
      <c r="C120" s="13" t="s">
        <v>297</v>
      </c>
      <c r="D120" s="61"/>
      <c r="E120" s="61"/>
      <c r="F120" s="61"/>
      <c r="G120" s="61"/>
      <c r="H120" s="61"/>
      <c r="I120" s="61"/>
    </row>
    <row r="121" spans="1:9" x14ac:dyDescent="0.35">
      <c r="A121" s="61"/>
      <c r="B121" s="62" t="s">
        <v>298</v>
      </c>
      <c r="C121" s="63">
        <v>1.55</v>
      </c>
      <c r="D121" s="61"/>
      <c r="E121" s="61"/>
      <c r="F121" s="61"/>
      <c r="G121" s="61"/>
      <c r="H121" s="61"/>
      <c r="I121" s="61"/>
    </row>
    <row r="122" spans="1:9" x14ac:dyDescent="0.35">
      <c r="A122" s="61"/>
      <c r="B122" s="62" t="s">
        <v>299</v>
      </c>
      <c r="C122" s="63">
        <v>1.35</v>
      </c>
      <c r="D122" s="61"/>
      <c r="E122" s="61"/>
      <c r="F122" s="61"/>
      <c r="G122" s="61"/>
      <c r="H122" s="61"/>
      <c r="I122" s="61"/>
    </row>
    <row r="123" spans="1:9" x14ac:dyDescent="0.35">
      <c r="A123" s="61"/>
      <c r="B123" s="62" t="s">
        <v>300</v>
      </c>
      <c r="C123" s="63">
        <v>1.45</v>
      </c>
      <c r="D123" s="61"/>
      <c r="E123" s="61"/>
      <c r="F123" s="61"/>
      <c r="G123" s="61"/>
      <c r="H123" s="61"/>
      <c r="I123" s="61"/>
    </row>
    <row r="124" spans="1:9" x14ac:dyDescent="0.35">
      <c r="A124" s="61"/>
      <c r="B124" s="62" t="s">
        <v>301</v>
      </c>
      <c r="C124" s="63">
        <v>1.25</v>
      </c>
      <c r="D124" s="61"/>
      <c r="E124" s="61"/>
      <c r="F124" s="61"/>
      <c r="G124" s="61"/>
      <c r="H124" s="61"/>
      <c r="I124" s="61"/>
    </row>
    <row r="125" spans="1:9" x14ac:dyDescent="0.35">
      <c r="A125" s="61"/>
      <c r="B125" s="62" t="s">
        <v>302</v>
      </c>
      <c r="C125" s="64">
        <v>1.2</v>
      </c>
      <c r="D125" s="61"/>
      <c r="E125" s="61"/>
      <c r="F125" s="61"/>
      <c r="G125" s="61"/>
      <c r="H125" s="61"/>
      <c r="I125" s="61"/>
    </row>
    <row r="126" spans="1:9" x14ac:dyDescent="0.35">
      <c r="A126" s="61"/>
      <c r="B126" s="62" t="s">
        <v>303</v>
      </c>
      <c r="C126" s="64">
        <v>1.32</v>
      </c>
      <c r="D126" s="61"/>
      <c r="E126" s="61"/>
      <c r="F126" s="61"/>
      <c r="G126" s="61"/>
      <c r="H126" s="61"/>
      <c r="I126" s="61"/>
    </row>
    <row r="127" spans="1:9" x14ac:dyDescent="0.35">
      <c r="A127" s="61"/>
      <c r="B127" s="61"/>
      <c r="C127" s="61"/>
      <c r="D127" s="61"/>
      <c r="E127" s="61"/>
      <c r="F127" s="61"/>
      <c r="G127" s="61"/>
      <c r="H127" s="61"/>
      <c r="I127" s="61"/>
    </row>
    <row r="128" spans="1:9" x14ac:dyDescent="0.35">
      <c r="A128" s="61"/>
      <c r="B128" s="61"/>
      <c r="C128" s="61"/>
      <c r="D128" s="61"/>
      <c r="E128" s="61"/>
      <c r="F128" s="61"/>
      <c r="G128" s="61"/>
      <c r="H128" s="61"/>
      <c r="I128" s="61"/>
    </row>
    <row r="129" spans="1:9" x14ac:dyDescent="0.35">
      <c r="A129" s="61"/>
      <c r="B129" s="3" t="s">
        <v>304</v>
      </c>
      <c r="C129" s="61"/>
      <c r="D129" s="61"/>
      <c r="E129" s="61"/>
      <c r="F129" s="61"/>
      <c r="G129" s="61"/>
      <c r="H129" s="61"/>
      <c r="I129" s="61"/>
    </row>
    <row r="130" spans="1:9" x14ac:dyDescent="0.35">
      <c r="A130" s="61"/>
      <c r="B130" s="61"/>
      <c r="C130" s="61"/>
      <c r="D130" s="61"/>
      <c r="E130" s="61"/>
      <c r="F130" s="61"/>
      <c r="G130" s="61"/>
      <c r="H130" s="61"/>
      <c r="I130" s="61"/>
    </row>
    <row r="131" spans="1:9" ht="34.9" x14ac:dyDescent="0.35">
      <c r="A131" s="61"/>
      <c r="B131" s="13" t="s">
        <v>296</v>
      </c>
      <c r="C131" s="13" t="s">
        <v>297</v>
      </c>
      <c r="D131" s="36" t="s">
        <v>305</v>
      </c>
      <c r="E131" s="36" t="s">
        <v>306</v>
      </c>
      <c r="F131" s="65"/>
      <c r="I131" s="61"/>
    </row>
    <row r="132" spans="1:9" x14ac:dyDescent="0.35">
      <c r="A132" s="61"/>
      <c r="B132" s="62" t="s">
        <v>298</v>
      </c>
      <c r="C132" s="63">
        <v>1.55</v>
      </c>
      <c r="D132" s="63" t="s">
        <v>309</v>
      </c>
      <c r="E132" s="63">
        <v>4.67</v>
      </c>
      <c r="F132" s="61"/>
      <c r="I132" s="61"/>
    </row>
    <row r="133" spans="1:9" x14ac:dyDescent="0.35">
      <c r="A133" s="61"/>
      <c r="B133" s="62" t="s">
        <v>299</v>
      </c>
      <c r="C133" s="63">
        <v>1.35</v>
      </c>
      <c r="D133" s="63" t="s">
        <v>311</v>
      </c>
      <c r="E133" s="63">
        <v>2.46</v>
      </c>
      <c r="F133" s="61"/>
      <c r="I133" s="61"/>
    </row>
    <row r="134" spans="1:9" x14ac:dyDescent="0.35">
      <c r="A134" s="61"/>
      <c r="B134" s="62" t="s">
        <v>300</v>
      </c>
      <c r="C134" s="63">
        <v>1.45</v>
      </c>
      <c r="D134" s="63" t="s">
        <v>313</v>
      </c>
      <c r="E134" s="63">
        <v>3.63</v>
      </c>
      <c r="F134" s="61"/>
      <c r="I134" s="61"/>
    </row>
    <row r="135" spans="1:9" x14ac:dyDescent="0.35">
      <c r="A135" s="61"/>
      <c r="B135" s="62" t="s">
        <v>301</v>
      </c>
      <c r="C135" s="63">
        <v>1.25</v>
      </c>
      <c r="D135" s="63" t="s">
        <v>315</v>
      </c>
      <c r="E135" s="63">
        <v>1.19</v>
      </c>
      <c r="F135" s="61"/>
      <c r="I135" s="61"/>
    </row>
    <row r="136" spans="1:9" x14ac:dyDescent="0.35">
      <c r="A136" s="61"/>
      <c r="B136" s="62" t="s">
        <v>302</v>
      </c>
      <c r="C136" s="64">
        <v>1.2</v>
      </c>
      <c r="D136" s="64" t="s">
        <v>315</v>
      </c>
      <c r="E136" s="64">
        <v>1.19</v>
      </c>
      <c r="F136" s="61"/>
      <c r="I136" s="61"/>
    </row>
    <row r="137" spans="1:9" x14ac:dyDescent="0.35">
      <c r="A137" s="61"/>
      <c r="B137" s="61"/>
      <c r="C137" s="61"/>
      <c r="D137" s="61"/>
      <c r="E137" s="61"/>
      <c r="F137" s="61"/>
      <c r="I137" s="61"/>
    </row>
    <row r="138" spans="1:9" x14ac:dyDescent="0.35">
      <c r="A138" s="61"/>
      <c r="B138" s="12" t="s">
        <v>1</v>
      </c>
      <c r="C138" s="12" t="s">
        <v>91</v>
      </c>
      <c r="D138" s="12" t="s">
        <v>576</v>
      </c>
      <c r="E138" s="12" t="s">
        <v>507</v>
      </c>
      <c r="F138" s="12" t="s">
        <v>35</v>
      </c>
      <c r="I138" s="61"/>
    </row>
    <row r="139" spans="1:9" x14ac:dyDescent="0.35">
      <c r="A139" s="61"/>
      <c r="B139" s="66" t="s">
        <v>524</v>
      </c>
      <c r="C139" s="66" t="s">
        <v>505</v>
      </c>
      <c r="D139" s="186">
        <f>0.03</f>
        <v>0.03</v>
      </c>
      <c r="E139" s="153">
        <f>_xlfn.XLOOKUP($D$138,input!$A:$A,input!$C:$C,0)</f>
        <v>104.27</v>
      </c>
      <c r="F139" s="187">
        <f>D139*E139</f>
        <v>3.1280999999999999</v>
      </c>
      <c r="I139" s="61"/>
    </row>
    <row r="140" spans="1:9" x14ac:dyDescent="0.35">
      <c r="A140" s="61"/>
      <c r="B140" s="66" t="s">
        <v>71</v>
      </c>
      <c r="C140" s="66" t="s">
        <v>505</v>
      </c>
      <c r="D140" s="66"/>
      <c r="E140" s="153">
        <f>_xlfn.XLOOKUP($E$138,input!$A:$A,input!$C:$C,0)</f>
        <v>0</v>
      </c>
      <c r="F140" s="66"/>
      <c r="I140" s="61"/>
    </row>
    <row r="141" spans="1:9" x14ac:dyDescent="0.35">
      <c r="A141" s="61"/>
      <c r="B141" s="66" t="s">
        <v>506</v>
      </c>
      <c r="C141" s="66" t="s">
        <v>505</v>
      </c>
      <c r="D141" s="66"/>
      <c r="E141" s="153">
        <f>_xlfn.XLOOKUP($E$138,input!$A:$A,input!$C:$C,0)</f>
        <v>0</v>
      </c>
      <c r="F141" s="66"/>
      <c r="I141" s="61"/>
    </row>
    <row r="142" spans="1:9" x14ac:dyDescent="0.35">
      <c r="A142" s="61"/>
      <c r="B142" s="61"/>
      <c r="C142" s="61"/>
      <c r="D142" s="61"/>
      <c r="E142" s="61"/>
      <c r="F142" s="61"/>
      <c r="G142" s="61"/>
      <c r="H142" s="61"/>
      <c r="I142" s="61"/>
    </row>
    <row r="143" spans="1:9" x14ac:dyDescent="0.35">
      <c r="A143" s="61"/>
      <c r="B143" s="61"/>
      <c r="C143" s="61"/>
      <c r="D143" s="61"/>
      <c r="E143" s="61"/>
      <c r="F143" s="61"/>
      <c r="G143" s="61"/>
      <c r="H143" s="61"/>
      <c r="I143" s="61"/>
    </row>
    <row r="144" spans="1:9" x14ac:dyDescent="0.35">
      <c r="A144" s="61"/>
      <c r="B144" s="13" t="s">
        <v>320</v>
      </c>
      <c r="C144" s="61"/>
      <c r="D144" s="13" t="s">
        <v>321</v>
      </c>
      <c r="E144" s="61"/>
      <c r="F144" s="61"/>
      <c r="G144" s="61"/>
      <c r="H144" s="61"/>
      <c r="I144" s="61"/>
    </row>
    <row r="145" spans="1:9" x14ac:dyDescent="0.35">
      <c r="A145" s="61"/>
      <c r="B145" s="66" t="s">
        <v>322</v>
      </c>
      <c r="C145" s="61"/>
      <c r="D145" s="66" t="s">
        <v>323</v>
      </c>
      <c r="E145" s="61"/>
      <c r="F145" s="61"/>
      <c r="G145" s="61"/>
      <c r="H145" s="61"/>
      <c r="I145" s="61"/>
    </row>
    <row r="146" spans="1:9" x14ac:dyDescent="0.35">
      <c r="A146" s="61"/>
      <c r="B146" s="66" t="s">
        <v>324</v>
      </c>
      <c r="C146" s="61"/>
      <c r="D146" s="66" t="s">
        <v>325</v>
      </c>
      <c r="E146" s="61"/>
      <c r="F146" s="61"/>
      <c r="G146" s="61"/>
      <c r="H146" s="61"/>
      <c r="I146" s="61"/>
    </row>
    <row r="147" spans="1:9" x14ac:dyDescent="0.35">
      <c r="A147" s="61"/>
      <c r="B147" s="66" t="s">
        <v>326</v>
      </c>
      <c r="C147" s="61"/>
      <c r="D147" s="66"/>
      <c r="E147" s="61"/>
      <c r="F147" s="61"/>
      <c r="G147" s="61"/>
      <c r="H147" s="61"/>
      <c r="I147" s="61"/>
    </row>
    <row r="148" spans="1:9" x14ac:dyDescent="0.35">
      <c r="A148" s="61"/>
      <c r="B148" s="66" t="s">
        <v>327</v>
      </c>
      <c r="C148" s="61"/>
      <c r="D148" s="61"/>
      <c r="E148" s="61"/>
      <c r="F148" s="61"/>
      <c r="G148" s="61"/>
      <c r="H148" s="61"/>
      <c r="I148" s="61"/>
    </row>
    <row r="149" spans="1:9" x14ac:dyDescent="0.35">
      <c r="A149" s="61"/>
      <c r="B149" s="67"/>
      <c r="C149" s="61"/>
      <c r="D149" s="61"/>
      <c r="E149" s="61"/>
      <c r="F149" s="61"/>
      <c r="G149" s="61"/>
      <c r="H149" s="61"/>
      <c r="I149" s="61"/>
    </row>
    <row r="150" spans="1:9" x14ac:dyDescent="0.35">
      <c r="B150" s="13" t="s">
        <v>307</v>
      </c>
      <c r="C150" s="13" t="s">
        <v>308</v>
      </c>
      <c r="D150" s="68"/>
    </row>
    <row r="151" spans="1:9" x14ac:dyDescent="0.35">
      <c r="B151" s="66" t="s">
        <v>310</v>
      </c>
      <c r="C151" s="69">
        <v>4.67</v>
      </c>
      <c r="D151" s="68"/>
    </row>
    <row r="152" spans="1:9" x14ac:dyDescent="0.35">
      <c r="B152" s="66" t="s">
        <v>312</v>
      </c>
      <c r="C152" s="69">
        <v>3.63</v>
      </c>
      <c r="D152" s="68"/>
    </row>
    <row r="153" spans="1:9" x14ac:dyDescent="0.35">
      <c r="B153" s="66" t="s">
        <v>314</v>
      </c>
      <c r="C153" s="69">
        <v>2.46</v>
      </c>
      <c r="D153" s="68"/>
    </row>
    <row r="154" spans="1:9" x14ac:dyDescent="0.35">
      <c r="B154" s="66" t="s">
        <v>316</v>
      </c>
      <c r="C154" s="69">
        <v>1.19</v>
      </c>
      <c r="D154" s="68"/>
    </row>
    <row r="155" spans="1:9" x14ac:dyDescent="0.35">
      <c r="B155" s="66" t="s">
        <v>317</v>
      </c>
      <c r="C155" s="69">
        <v>5.12</v>
      </c>
      <c r="D155" s="68"/>
    </row>
    <row r="156" spans="1:9" x14ac:dyDescent="0.35">
      <c r="B156" s="66" t="s">
        <v>318</v>
      </c>
      <c r="C156" s="69">
        <v>6.29</v>
      </c>
      <c r="D156" s="68"/>
    </row>
    <row r="157" spans="1:9" x14ac:dyDescent="0.35">
      <c r="B157" s="66"/>
      <c r="C157" s="69"/>
      <c r="D157" s="68"/>
    </row>
    <row r="158" spans="1:9" x14ac:dyDescent="0.35">
      <c r="B158" s="66" t="s">
        <v>319</v>
      </c>
      <c r="C158" s="69">
        <v>7.33</v>
      </c>
      <c r="D158" s="68"/>
    </row>
    <row r="159" spans="1:9" x14ac:dyDescent="0.35">
      <c r="B159" s="61"/>
      <c r="C159" s="61"/>
      <c r="D159" s="68"/>
    </row>
    <row r="160" spans="1:9" x14ac:dyDescent="0.35">
      <c r="B160" s="61"/>
      <c r="C160" s="61"/>
      <c r="D160" s="68"/>
    </row>
    <row r="161" spans="2:4" x14ac:dyDescent="0.35">
      <c r="B161" s="13" t="s">
        <v>6</v>
      </c>
      <c r="C161" s="61"/>
      <c r="D161" s="68"/>
    </row>
    <row r="162" spans="2:4" x14ac:dyDescent="0.35">
      <c r="B162" s="66" t="s">
        <v>285</v>
      </c>
      <c r="C162" s="61"/>
      <c r="D162" s="68"/>
    </row>
    <row r="163" spans="2:4" x14ac:dyDescent="0.35">
      <c r="B163" s="66" t="s">
        <v>67</v>
      </c>
      <c r="C163" s="61"/>
      <c r="D163" s="68"/>
    </row>
    <row r="164" spans="2:4" x14ac:dyDescent="0.35">
      <c r="B164" s="61"/>
      <c r="C164" s="61"/>
      <c r="D164" s="68"/>
    </row>
    <row r="165" spans="2:4" x14ac:dyDescent="0.35">
      <c r="B165" s="61"/>
      <c r="C165" s="61"/>
      <c r="D165" s="68"/>
    </row>
    <row r="166" spans="2:4" x14ac:dyDescent="0.35">
      <c r="B166" s="12" t="s">
        <v>74</v>
      </c>
      <c r="C166" s="12" t="s">
        <v>286</v>
      </c>
      <c r="D166" s="34" t="s">
        <v>73</v>
      </c>
    </row>
    <row r="167" spans="2:4" x14ac:dyDescent="0.35">
      <c r="B167" s="66" t="s">
        <v>287</v>
      </c>
      <c r="C167" s="66">
        <v>8</v>
      </c>
      <c r="D167" s="70">
        <v>8</v>
      </c>
    </row>
    <row r="168" spans="2:4" x14ac:dyDescent="0.35">
      <c r="B168" s="66" t="s">
        <v>75</v>
      </c>
      <c r="C168" s="66">
        <v>11</v>
      </c>
      <c r="D168" s="70">
        <v>10</v>
      </c>
    </row>
    <row r="169" spans="2:4" x14ac:dyDescent="0.35">
      <c r="B169" s="66" t="s">
        <v>288</v>
      </c>
      <c r="C169" s="66">
        <v>11</v>
      </c>
      <c r="D169" s="70">
        <v>10</v>
      </c>
    </row>
    <row r="170" spans="2:4" x14ac:dyDescent="0.35">
      <c r="B170" s="66" t="s">
        <v>289</v>
      </c>
      <c r="C170" s="66">
        <v>14</v>
      </c>
      <c r="D170" s="70">
        <v>12</v>
      </c>
    </row>
    <row r="171" spans="2:4" x14ac:dyDescent="0.35">
      <c r="B171" s="66" t="s">
        <v>290</v>
      </c>
      <c r="C171" s="66">
        <v>11</v>
      </c>
      <c r="D171" s="70">
        <v>10</v>
      </c>
    </row>
    <row r="172" spans="2:4" x14ac:dyDescent="0.35">
      <c r="B172" s="66" t="s">
        <v>291</v>
      </c>
      <c r="C172" s="66">
        <v>24</v>
      </c>
      <c r="D172" s="70">
        <v>21</v>
      </c>
    </row>
    <row r="173" spans="2:4" x14ac:dyDescent="0.35">
      <c r="B173" s="61"/>
      <c r="C173" s="61"/>
      <c r="D173" s="68"/>
    </row>
    <row r="174" spans="2:4" x14ac:dyDescent="0.35">
      <c r="B174" s="13" t="s">
        <v>292</v>
      </c>
      <c r="C174" s="61"/>
      <c r="D174" s="68"/>
    </row>
    <row r="175" spans="2:4" x14ac:dyDescent="0.35">
      <c r="B175" s="66" t="s">
        <v>286</v>
      </c>
      <c r="C175" s="61"/>
      <c r="D175" s="68"/>
    </row>
    <row r="176" spans="2:4" x14ac:dyDescent="0.35">
      <c r="B176" s="66" t="s">
        <v>73</v>
      </c>
      <c r="C176" s="61"/>
      <c r="D176" s="68"/>
    </row>
    <row r="177" spans="2:4" x14ac:dyDescent="0.35">
      <c r="B177" s="61"/>
      <c r="C177" s="61"/>
      <c r="D177" s="68"/>
    </row>
    <row r="178" spans="2:4" x14ac:dyDescent="0.35">
      <c r="B178" s="61"/>
      <c r="C178" s="61"/>
      <c r="D178" s="68"/>
    </row>
    <row r="180" spans="2:4" x14ac:dyDescent="0.35">
      <c r="B180" s="13" t="s">
        <v>61</v>
      </c>
    </row>
    <row r="181" spans="2:4" x14ac:dyDescent="0.35">
      <c r="B181" s="71" t="s">
        <v>62</v>
      </c>
    </row>
    <row r="182" spans="2:4" x14ac:dyDescent="0.35">
      <c r="B182" s="72" t="s">
        <v>293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68B83-6E57-4DD7-84BC-6CFF3FAEAF12}">
  <dimension ref="A1:X38"/>
  <sheetViews>
    <sheetView zoomScale="96" workbookViewId="0">
      <selection activeCell="D4" sqref="D4"/>
    </sheetView>
  </sheetViews>
  <sheetFormatPr defaultRowHeight="14.25" x14ac:dyDescent="0.45"/>
  <cols>
    <col min="1" max="1" width="12.796875" customWidth="1"/>
    <col min="2" max="2" width="14.6640625" customWidth="1"/>
    <col min="3" max="3" width="9.86328125" customWidth="1"/>
    <col min="4" max="4" width="12.86328125" customWidth="1"/>
    <col min="5" max="5" width="14.33203125" customWidth="1"/>
    <col min="6" max="6" width="14.86328125" customWidth="1"/>
    <col min="7" max="7" width="17.19921875" customWidth="1"/>
    <col min="8" max="9" width="14.796875" customWidth="1"/>
    <col min="10" max="11" width="12.33203125" bestFit="1" customWidth="1"/>
    <col min="12" max="12" width="12.19921875" customWidth="1"/>
    <col min="13" max="13" width="10.46484375" customWidth="1"/>
    <col min="14" max="14" width="14.46484375" customWidth="1"/>
    <col min="15" max="15" width="14.1328125" customWidth="1"/>
    <col min="16" max="16" width="13.86328125" customWidth="1"/>
  </cols>
  <sheetData>
    <row r="1" spans="1:24" x14ac:dyDescent="0.45">
      <c r="A1" s="239">
        <f>SUM(D4:P20)-[1]Database!$A$1</f>
        <v>0</v>
      </c>
      <c r="F1" s="210"/>
    </row>
    <row r="2" spans="1:24" ht="28.5" x14ac:dyDescent="0.45">
      <c r="D2" s="211" t="s">
        <v>539</v>
      </c>
      <c r="E2" s="247" t="s">
        <v>47</v>
      </c>
      <c r="F2" s="247"/>
      <c r="G2" s="247"/>
      <c r="J2" s="211" t="s">
        <v>540</v>
      </c>
      <c r="K2" s="211" t="s">
        <v>540</v>
      </c>
      <c r="L2" s="211" t="s">
        <v>540</v>
      </c>
      <c r="O2" s="214" t="s">
        <v>528</v>
      </c>
      <c r="P2" s="214" t="s">
        <v>529</v>
      </c>
      <c r="W2" t="s">
        <v>541</v>
      </c>
      <c r="X2">
        <v>300</v>
      </c>
    </row>
    <row r="3" spans="1:24" ht="41.25" customHeight="1" x14ac:dyDescent="0.45">
      <c r="A3" s="212" t="s">
        <v>32</v>
      </c>
      <c r="B3" s="212" t="s">
        <v>34</v>
      </c>
      <c r="C3" s="212" t="s">
        <v>527</v>
      </c>
      <c r="D3" s="236" t="s">
        <v>46</v>
      </c>
      <c r="E3" s="213" t="s">
        <v>48</v>
      </c>
      <c r="F3" s="213" t="s">
        <v>49</v>
      </c>
      <c r="G3" s="213" t="s">
        <v>50</v>
      </c>
      <c r="H3" s="237" t="s">
        <v>578</v>
      </c>
      <c r="I3" s="212" t="s">
        <v>54</v>
      </c>
      <c r="J3" s="213" t="s">
        <v>58</v>
      </c>
      <c r="K3" s="236" t="s">
        <v>579</v>
      </c>
      <c r="L3" s="213" t="s">
        <v>60</v>
      </c>
      <c r="M3" s="214" t="s">
        <v>64</v>
      </c>
      <c r="N3" s="214" t="s">
        <v>65</v>
      </c>
      <c r="O3" s="214" t="s">
        <v>576</v>
      </c>
      <c r="P3" s="214" t="s">
        <v>575</v>
      </c>
      <c r="W3" t="e">
        <f>#REF!/X2</f>
        <v>#REF!</v>
      </c>
    </row>
    <row r="4" spans="1:24" x14ac:dyDescent="0.45">
      <c r="A4" s="215" t="s">
        <v>542</v>
      </c>
      <c r="B4" s="215" t="s">
        <v>543</v>
      </c>
      <c r="C4" s="215" t="s">
        <v>544</v>
      </c>
      <c r="D4" s="235" cm="1">
        <f t="array" ref="D4">_xlfn.XLOOKUP(
   $A4,
   [1]Database!$A$5:$A$20,
   _xlfn.XLOOKUP(
      D$3,
      [1]Database!$D$4:$T$4,
      [1]Database!$D$5:$T$20
   )
)</f>
        <v>129.15</v>
      </c>
      <c r="E4" s="235" cm="1">
        <f t="array" ref="E4">_xlfn.XLOOKUP(
   $A4,
   [1]Database!$A$5:$A$20,
   _xlfn.XLOOKUP(
      E$3,
      [1]Database!$D$4:$T$4,
      [1]Database!$D$5:$T$20
   )
)</f>
        <v>9792000</v>
      </c>
      <c r="F4" s="235" cm="1">
        <f t="array" ref="F4">_xlfn.XLOOKUP(
   $A4,
   [1]Database!$A$5:$A$20,
   _xlfn.XLOOKUP(
      F$3,
      [1]Database!$D$4:$T$4,
      [1]Database!$D$5:$T$20
   )
)</f>
        <v>1632000.0000000002</v>
      </c>
      <c r="G4" s="235" cm="1">
        <f t="array" ref="G4">_xlfn.XLOOKUP(
   $A4,
   [1]Database!$A$5:$A$20,
   _xlfn.XLOOKUP(
      G$3,
      [1]Database!$D$4:$T$4,
      [1]Database!$D$5:$T$20
   )
)</f>
        <v>13056000.000000002</v>
      </c>
      <c r="H4" s="238" cm="1">
        <f t="array" ref="H4">_xlfn.XLOOKUP(
   $A4,
   [1]Database!$A$5:$A$20,
   _xlfn.XLOOKUP(
      H$3,
      [1]Database!$D$4:$T$4,
      [1]Database!$D$5:$T$20
   )
)</f>
        <v>0.1</v>
      </c>
      <c r="I4" s="238" cm="1">
        <f t="array" ref="I4">_xlfn.XLOOKUP(
   $A4,
   [1]Database!$A$5:$A$20,
   _xlfn.XLOOKUP(
      I$3,
      [1]Database!$D$4:$T$4,
      [1]Database!$D$5:$T$20
   )
)</f>
        <v>0.02</v>
      </c>
      <c r="J4" s="235" cm="1">
        <f t="array" ref="J4">_xlfn.XLOOKUP(
   $A4,
   [1]Database!$A$5:$A$20,
   _xlfn.XLOOKUP(
      J$3,
      [1]Database!$D$4:$T$4,
      [1]Database!$D$5:$T$20
   )
)</f>
        <v>194373</v>
      </c>
      <c r="K4" s="235" cm="1">
        <f t="array" ref="K4">_xlfn.XLOOKUP(
   $A4,
   [1]Database!$A$5:$A$20,
   _xlfn.XLOOKUP(
      K$3,
      [1]Database!$D$4:$T$4,
      [1]Database!$D$5:$T$20
   )
)</f>
        <v>0</v>
      </c>
      <c r="L4" s="235" cm="1">
        <f t="array" ref="L4">_xlfn.XLOOKUP(
   $A4,
   [1]Database!$A$5:$A$20,
   _xlfn.XLOOKUP(
      L$3,
      [1]Database!$D$4:$T$4,
      [1]Database!$D$5:$T$20
   )
)</f>
        <v>100148.96</v>
      </c>
      <c r="M4" s="238" cm="1">
        <f t="array" ref="M4">_xlfn.XLOOKUP(
   $A4,
   [1]Database!$A$5:$A$20,
   _xlfn.XLOOKUP(
      M$3,
      [1]Database!$D$4:$T$4,
      [1]Database!$D$5:$T$20
   )
)</f>
        <v>0.36959999999999998</v>
      </c>
      <c r="N4" s="238" cm="1">
        <f t="array" ref="N4">_xlfn.XLOOKUP(
   $A4,
   [1]Database!$A$5:$A$20,
   _xlfn.XLOOKUP(
      N$3,
      [1]Database!$D$4:$T$4,
      [1]Database!$D$5:$T$20
   )
)</f>
        <v>0.36959999999999998</v>
      </c>
      <c r="O4" s="235" cm="1">
        <f t="array" ref="O4">_xlfn.XLOOKUP(
   $A4,
   [1]Database!$A$5:$A$20,
   _xlfn.XLOOKUP(
      O$3,
      [1]Database!$D$4:$T$4,
      [1]Database!$D$5:$T$20
   )
)</f>
        <v>1684.16</v>
      </c>
      <c r="P4" s="235" cm="1">
        <f t="array" ref="P4">_xlfn.XLOOKUP(
   $A4,
   [1]Database!$A$5:$A$20,
   _xlfn.XLOOKUP(
      P$3,
      [1]Database!$D$4:$T$4,
      [1]Database!$D$5:$T$20
   )
)</f>
        <v>1451.24</v>
      </c>
    </row>
    <row r="5" spans="1:24" x14ac:dyDescent="0.45">
      <c r="A5" s="215" t="s">
        <v>545</v>
      </c>
      <c r="B5" s="215" t="s">
        <v>546</v>
      </c>
      <c r="C5" s="215" t="s">
        <v>547</v>
      </c>
      <c r="D5" s="235" cm="1">
        <f t="array" ref="D5">_xlfn.XLOOKUP(
   $A5,
   [1]Database!$A$5:$A$20,
   _xlfn.XLOOKUP(
      D$3,
      [1]Database!$D$4:$T$4,
      [1]Database!$D$5:$T$20
   )
)</f>
        <v>0.65700000000000003</v>
      </c>
      <c r="E5" s="235" cm="1">
        <f t="array" ref="E5">_xlfn.XLOOKUP(
   $A5,
   [1]Database!$A$5:$A$20,
   _xlfn.XLOOKUP(
      E$3,
      [1]Database!$D$4:$T$4,
      [1]Database!$D$5:$T$20
   )
)</f>
        <v>73000</v>
      </c>
      <c r="F5" s="235" cm="1">
        <f t="array" ref="F5">_xlfn.XLOOKUP(
   $A5,
   [1]Database!$A$5:$A$20,
   _xlfn.XLOOKUP(
      F$3,
      [1]Database!$D$4:$T$4,
      [1]Database!$D$5:$T$20
   )
)</f>
        <v>210240</v>
      </c>
      <c r="G5" s="235" cm="1">
        <f t="array" ref="G5">_xlfn.XLOOKUP(
   $A5,
   [1]Database!$A$5:$A$20,
   _xlfn.XLOOKUP(
      G$3,
      [1]Database!$D$4:$T$4,
      [1]Database!$D$5:$T$20
   )
)</f>
        <v>315360</v>
      </c>
      <c r="H5" s="238" cm="1">
        <f t="array" ref="H5">_xlfn.XLOOKUP(
   $A5,
   [1]Database!$A$5:$A$20,
   _xlfn.XLOOKUP(
      H$3,
      [1]Database!$D$4:$T$4,
      [1]Database!$D$5:$T$20
   )
)</f>
        <v>0.1</v>
      </c>
      <c r="I5" s="238" cm="1">
        <f t="array" ref="I5">_xlfn.XLOOKUP(
   $A5,
   [1]Database!$A$5:$A$20,
   _xlfn.XLOOKUP(
      I$3,
      [1]Database!$D$4:$T$4,
      [1]Database!$D$5:$T$20
   )
)</f>
        <v>0.04</v>
      </c>
      <c r="J5" s="235" cm="1">
        <f t="array" ref="J5">_xlfn.XLOOKUP(
   $A5,
   [1]Database!$A$5:$A$20,
   _xlfn.XLOOKUP(
      J$3,
      [1]Database!$D$4:$T$4,
      [1]Database!$D$5:$T$20
   )
)</f>
        <v>2533.6</v>
      </c>
      <c r="K5" s="235" cm="1">
        <f t="array" ref="K5">_xlfn.XLOOKUP(
   $A5,
   [1]Database!$A$5:$A$20,
   _xlfn.XLOOKUP(
      K$3,
      [1]Database!$D$4:$T$4,
      [1]Database!$D$5:$T$20
   )
)</f>
        <v>14843.75</v>
      </c>
      <c r="L5" s="235" cm="1">
        <f t="array" ref="L5">_xlfn.XLOOKUP(
   $A5,
   [1]Database!$A$5:$A$20,
   _xlfn.XLOOKUP(
      L$3,
      [1]Database!$D$4:$T$4,
      [1]Database!$D$5:$T$20
   )
)</f>
        <v>161.679</v>
      </c>
      <c r="M5" s="238" cm="1">
        <f t="array" ref="M5">_xlfn.XLOOKUP(
   $A5,
   [1]Database!$A$5:$A$20,
   _xlfn.XLOOKUP(
      M$3,
      [1]Database!$D$4:$T$4,
      [1]Database!$D$5:$T$20
   )
)</f>
        <v>0.15</v>
      </c>
      <c r="N5" s="238" cm="1">
        <f t="array" ref="N5">_xlfn.XLOOKUP(
   $A5,
   [1]Database!$A$5:$A$20,
   _xlfn.XLOOKUP(
      N$3,
      [1]Database!$D$4:$T$4,
      [1]Database!$D$5:$T$20
   )
)</f>
        <v>0.15</v>
      </c>
      <c r="O5" s="235" cm="1">
        <f t="array" ref="O5">_xlfn.XLOOKUP(
   $A5,
   [1]Database!$A$5:$A$20,
   _xlfn.XLOOKUP(
      O$3,
      [1]Database!$D$4:$T$4,
      [1]Database!$D$5:$T$20
   )
)</f>
        <v>6.23</v>
      </c>
      <c r="P5" s="235" cm="1">
        <f t="array" ref="P5">_xlfn.XLOOKUP(
   $A5,
   [1]Database!$A$5:$A$20,
   _xlfn.XLOOKUP(
      P$3,
      [1]Database!$D$4:$T$4,
      [1]Database!$D$5:$T$20
   )
)</f>
        <v>5.37</v>
      </c>
    </row>
    <row r="6" spans="1:24" x14ac:dyDescent="0.45">
      <c r="A6" s="215" t="s">
        <v>536</v>
      </c>
      <c r="B6" s="215" t="s">
        <v>537</v>
      </c>
      <c r="C6" s="215" t="s">
        <v>538</v>
      </c>
      <c r="D6" s="235" cm="1">
        <f t="array" ref="D6">_xlfn.XLOOKUP(
   $A6,
   [1]Database!$A$5:$A$20,
   _xlfn.XLOOKUP(
      D$3,
      [1]Database!$D$4:$T$4,
      [1]Database!$D$5:$T$20
   )
)</f>
        <v>0.79400000000000004</v>
      </c>
      <c r="E6" s="235" cm="1">
        <f t="array" ref="E6">_xlfn.XLOOKUP(
   $A6,
   [1]Database!$A$5:$A$20,
   _xlfn.XLOOKUP(
      E$3,
      [1]Database!$D$4:$T$4,
      [1]Database!$D$5:$T$20
   )
)</f>
        <v>420000</v>
      </c>
      <c r="F6" s="235" cm="1">
        <f t="array" ref="F6">_xlfn.XLOOKUP(
   $A6,
   [1]Database!$A$5:$A$20,
   _xlfn.XLOOKUP(
      F$3,
      [1]Database!$D$4:$T$4,
      [1]Database!$D$5:$T$20
   )
)</f>
        <v>420000</v>
      </c>
      <c r="G6" s="235" cm="1">
        <f t="array" ref="G6">_xlfn.XLOOKUP(
   $A6,
   [1]Database!$A$5:$A$20,
   _xlfn.XLOOKUP(
      G$3,
      [1]Database!$D$4:$T$4,
      [1]Database!$D$5:$T$20
   )
)</f>
        <v>487199.99999999994</v>
      </c>
      <c r="H6" s="238" cm="1">
        <f t="array" ref="H6">_xlfn.XLOOKUP(
   $A6,
   [1]Database!$A$5:$A$20,
   _xlfn.XLOOKUP(
      H$3,
      [1]Database!$D$4:$T$4,
      [1]Database!$D$5:$T$20
   )
)</f>
        <v>0.1</v>
      </c>
      <c r="I6" s="238" cm="1">
        <f t="array" ref="I6">_xlfn.XLOOKUP(
   $A6,
   [1]Database!$A$5:$A$20,
   _xlfn.XLOOKUP(
      I$3,
      [1]Database!$D$4:$T$4,
      [1]Database!$D$5:$T$20
   )
)</f>
        <v>0.1</v>
      </c>
      <c r="J6" s="235" cm="1">
        <f t="array" ref="J6">_xlfn.XLOOKUP(
   $A6,
   [1]Database!$A$5:$A$20,
   _xlfn.XLOOKUP(
      J$3,
      [1]Database!$D$4:$T$4,
      [1]Database!$D$5:$T$20
   )
)</f>
        <v>1228.5</v>
      </c>
      <c r="K6" s="235" cm="1">
        <f t="array" ref="K6">_xlfn.XLOOKUP(
   $A6,
   [1]Database!$A$5:$A$20,
   _xlfn.XLOOKUP(
      K$3,
      [1]Database!$D$4:$T$4,
      [1]Database!$D$5:$T$20
   )
)</f>
        <v>1056.51</v>
      </c>
      <c r="L6" s="235" cm="1">
        <f t="array" ref="L6">_xlfn.XLOOKUP(
   $A6,
   [1]Database!$A$5:$A$20,
   _xlfn.XLOOKUP(
      L$3,
      [1]Database!$D$4:$T$4,
      [1]Database!$D$5:$T$20
   )
)</f>
        <v>3046.68</v>
      </c>
      <c r="M6" s="238" cm="1">
        <f t="array" ref="M6">_xlfn.XLOOKUP(
   $A6,
   [1]Database!$A$5:$A$20,
   _xlfn.XLOOKUP(
      M$3,
      [1]Database!$D$4:$T$4,
      [1]Database!$D$5:$T$20
   )
)</f>
        <v>4.9000000000000002E-2</v>
      </c>
      <c r="N6" s="238" cm="1">
        <f t="array" ref="N6">_xlfn.XLOOKUP(
   $A6,
   [1]Database!$A$5:$A$20,
   _xlfn.XLOOKUP(
      N$3,
      [1]Database!$D$4:$T$4,
      [1]Database!$D$5:$T$20
   )
)</f>
        <v>0.03</v>
      </c>
      <c r="O6" s="235" cm="1">
        <f t="array" ref="O6">_xlfn.XLOOKUP(
   $A6,
   [1]Database!$A$5:$A$20,
   _xlfn.XLOOKUP(
      O$3,
      [1]Database!$D$4:$T$4,
      [1]Database!$D$5:$T$20
   )
)</f>
        <v>8.19</v>
      </c>
      <c r="P6" s="235" cm="1">
        <f t="array" ref="P6">_xlfn.XLOOKUP(
   $A6,
   [1]Database!$A$5:$A$20,
   _xlfn.XLOOKUP(
      P$3,
      [1]Database!$D$4:$T$4,
      [1]Database!$D$5:$T$20
   )
)</f>
        <v>7.11</v>
      </c>
    </row>
    <row r="7" spans="1:24" x14ac:dyDescent="0.45">
      <c r="A7" s="215" t="s">
        <v>548</v>
      </c>
      <c r="B7" s="215" t="s">
        <v>549</v>
      </c>
      <c r="C7" s="215" t="s">
        <v>504</v>
      </c>
      <c r="D7" s="235" cm="1">
        <f t="array" ref="D7">_xlfn.XLOOKUP(
   $A7,
   [1]Database!$A$5:$A$20,
   _xlfn.XLOOKUP(
      D$3,
      [1]Database!$D$4:$T$4,
      [1]Database!$D$5:$T$20
   )
)</f>
        <v>0.153</v>
      </c>
      <c r="E7" s="235" cm="1">
        <f t="array" ref="E7">_xlfn.XLOOKUP(
   $A7,
   [1]Database!$A$5:$A$20,
   _xlfn.XLOOKUP(
      E$3,
      [1]Database!$D$4:$T$4,
      [1]Database!$D$5:$T$20
   )
)</f>
        <v>34800</v>
      </c>
      <c r="F7" s="235" cm="1">
        <f t="array" ref="F7">_xlfn.XLOOKUP(
   $A7,
   [1]Database!$A$5:$A$20,
   _xlfn.XLOOKUP(
      F$3,
      [1]Database!$D$4:$T$4,
      [1]Database!$D$5:$T$20
   )
)</f>
        <v>71050</v>
      </c>
      <c r="G7" s="235" cm="1">
        <f t="array" ref="G7">_xlfn.XLOOKUP(
   $A7,
   [1]Database!$A$5:$A$20,
   _xlfn.XLOOKUP(
      G$3,
      [1]Database!$D$4:$T$4,
      [1]Database!$D$5:$T$20
   )
)</f>
        <v>94250</v>
      </c>
      <c r="H7" s="238" cm="1">
        <f t="array" ref="H7">_xlfn.XLOOKUP(
   $A7,
   [1]Database!$A$5:$A$20,
   _xlfn.XLOOKUP(
      H$3,
      [1]Database!$D$4:$T$4,
      [1]Database!$D$5:$T$20
   )
)</f>
        <v>0.1</v>
      </c>
      <c r="I7" s="238" cm="1">
        <f t="array" ref="I7">_xlfn.XLOOKUP(
   $A7,
   [1]Database!$A$5:$A$20,
   _xlfn.XLOOKUP(
      I$3,
      [1]Database!$D$4:$T$4,
      [1]Database!$D$5:$T$20
   )
)</f>
        <v>0.1</v>
      </c>
      <c r="J7" s="235" cm="1">
        <f t="array" ref="J7">_xlfn.XLOOKUP(
   $A7,
   [1]Database!$A$5:$A$20,
   _xlfn.XLOOKUP(
      J$3,
      [1]Database!$D$4:$T$4,
      [1]Database!$D$5:$T$20
   )
)</f>
        <v>0</v>
      </c>
      <c r="K7" s="235" cm="1">
        <f t="array" ref="K7">_xlfn.XLOOKUP(
   $A7,
   [1]Database!$A$5:$A$20,
   _xlfn.XLOOKUP(
      K$3,
      [1]Database!$D$4:$T$4,
      [1]Database!$D$5:$T$20
   )
)</f>
        <v>0</v>
      </c>
      <c r="L7" s="235" cm="1">
        <f t="array" ref="L7">_xlfn.XLOOKUP(
   $A7,
   [1]Database!$A$5:$A$20,
   _xlfn.XLOOKUP(
      L$3,
      [1]Database!$D$4:$T$4,
      [1]Database!$D$5:$T$20
   )
)</f>
        <v>0</v>
      </c>
      <c r="M7" s="238" cm="1">
        <f t="array" ref="M7">_xlfn.XLOOKUP(
   $A7,
   [1]Database!$A$5:$A$20,
   _xlfn.XLOOKUP(
      M$3,
      [1]Database!$D$4:$T$4,
      [1]Database!$D$5:$T$20
   )
)</f>
        <v>3.4500000000000003E-2</v>
      </c>
      <c r="N7" s="238" cm="1">
        <f t="array" ref="N7">_xlfn.XLOOKUP(
   $A7,
   [1]Database!$A$5:$A$20,
   _xlfn.XLOOKUP(
      N$3,
      [1]Database!$D$4:$T$4,
      [1]Database!$D$5:$T$20
   )
)</f>
        <v>3.4500000000000003E-2</v>
      </c>
      <c r="O7" s="235" cm="1">
        <f t="array" ref="O7">_xlfn.XLOOKUP(
   $A7,
   [1]Database!$A$5:$A$20,
   _xlfn.XLOOKUP(
      O$3,
      [1]Database!$D$4:$T$4,
      [1]Database!$D$5:$T$20
   )
)</f>
        <v>1</v>
      </c>
      <c r="P7" s="235" cm="1">
        <f t="array" ref="P7">_xlfn.XLOOKUP(
   $A7,
   [1]Database!$A$5:$A$20,
   _xlfn.XLOOKUP(
      P$3,
      [1]Database!$D$4:$T$4,
      [1]Database!$D$5:$T$20
   )
)</f>
        <v>0.86</v>
      </c>
    </row>
    <row r="8" spans="1:24" x14ac:dyDescent="0.45">
      <c r="A8" s="215" t="s">
        <v>550</v>
      </c>
      <c r="B8" s="215" t="s">
        <v>549</v>
      </c>
      <c r="C8" s="215" t="s">
        <v>504</v>
      </c>
      <c r="D8" s="235" cm="1">
        <f t="array" ref="D8">_xlfn.XLOOKUP(
   $A8,
   [1]Database!$A$5:$A$20,
   _xlfn.XLOOKUP(
      D$3,
      [1]Database!$D$4:$T$4,
      [1]Database!$D$5:$T$20
   )
)</f>
        <v>0.251</v>
      </c>
      <c r="E8" s="235" cm="1">
        <f t="array" ref="E8">_xlfn.XLOOKUP(
   $A8,
   [1]Database!$A$5:$A$20,
   _xlfn.XLOOKUP(
      E$3,
      [1]Database!$D$4:$T$4,
      [1]Database!$D$5:$T$20
   )
)</f>
        <v>36000</v>
      </c>
      <c r="F8" s="235" cm="1">
        <f t="array" ref="F8">_xlfn.XLOOKUP(
   $A8,
   [1]Database!$A$5:$A$20,
   _xlfn.XLOOKUP(
      F$3,
      [1]Database!$D$4:$T$4,
      [1]Database!$D$5:$T$20
   )
)</f>
        <v>75000</v>
      </c>
      <c r="G8" s="235" cm="1">
        <f t="array" ref="G8">_xlfn.XLOOKUP(
   $A8,
   [1]Database!$A$5:$A$20,
   _xlfn.XLOOKUP(
      G$3,
      [1]Database!$D$4:$T$4,
      [1]Database!$D$5:$T$20
   )
)</f>
        <v>85000</v>
      </c>
      <c r="H8" s="238" cm="1">
        <f t="array" ref="H8">_xlfn.XLOOKUP(
   $A8,
   [1]Database!$A$5:$A$20,
   _xlfn.XLOOKUP(
      H$3,
      [1]Database!$D$4:$T$4,
      [1]Database!$D$5:$T$20
   )
)</f>
        <v>0.1</v>
      </c>
      <c r="I8" s="238" cm="1">
        <f t="array" ref="I8">_xlfn.XLOOKUP(
   $A8,
   [1]Database!$A$5:$A$20,
   _xlfn.XLOOKUP(
      I$3,
      [1]Database!$D$4:$T$4,
      [1]Database!$D$5:$T$20
   )
)</f>
        <v>0.1</v>
      </c>
      <c r="J8" s="235" cm="1">
        <f t="array" ref="J8">_xlfn.XLOOKUP(
   $A8,
   [1]Database!$A$5:$A$20,
   _xlfn.XLOOKUP(
      J$3,
      [1]Database!$D$4:$T$4,
      [1]Database!$D$5:$T$20
   )
)</f>
        <v>0</v>
      </c>
      <c r="K8" s="235" cm="1">
        <f t="array" ref="K8">_xlfn.XLOOKUP(
   $A8,
   [1]Database!$A$5:$A$20,
   _xlfn.XLOOKUP(
      K$3,
      [1]Database!$D$4:$T$4,
      [1]Database!$D$5:$T$20
   )
)</f>
        <v>0</v>
      </c>
      <c r="L8" s="235" cm="1">
        <f t="array" ref="L8">_xlfn.XLOOKUP(
   $A8,
   [1]Database!$A$5:$A$20,
   _xlfn.XLOOKUP(
      L$3,
      [1]Database!$D$4:$T$4,
      [1]Database!$D$5:$T$20
   )
)</f>
        <v>0</v>
      </c>
      <c r="M8" s="238" cm="1">
        <f t="array" ref="M8">_xlfn.XLOOKUP(
   $A8,
   [1]Database!$A$5:$A$20,
   _xlfn.XLOOKUP(
      M$3,
      [1]Database!$D$4:$T$4,
      [1]Database!$D$5:$T$20
   )
)</f>
        <v>3.95E-2</v>
      </c>
      <c r="N8" s="238" cm="1">
        <f t="array" ref="N8">_xlfn.XLOOKUP(
   $A8,
   [1]Database!$A$5:$A$20,
   _xlfn.XLOOKUP(
      N$3,
      [1]Database!$D$4:$T$4,
      [1]Database!$D$5:$T$20
   )
)</f>
        <v>3.95E-2</v>
      </c>
      <c r="O8" s="235" cm="1">
        <f t="array" ref="O8">_xlfn.XLOOKUP(
   $A8,
   [1]Database!$A$5:$A$20,
   _xlfn.XLOOKUP(
      O$3,
      [1]Database!$D$4:$T$4,
      [1]Database!$D$5:$T$20
   )
)</f>
        <v>1</v>
      </c>
      <c r="P8" s="235" cm="1">
        <f t="array" ref="P8">_xlfn.XLOOKUP(
   $A8,
   [1]Database!$A$5:$A$20,
   _xlfn.XLOOKUP(
      P$3,
      [1]Database!$D$4:$T$4,
      [1]Database!$D$5:$T$20
   )
)</f>
        <v>0.86</v>
      </c>
    </row>
    <row r="9" spans="1:24" x14ac:dyDescent="0.45">
      <c r="A9" s="215" t="s">
        <v>551</v>
      </c>
      <c r="B9" s="215" t="s">
        <v>552</v>
      </c>
      <c r="C9" s="215" t="s">
        <v>553</v>
      </c>
      <c r="D9" s="235" cm="1">
        <f t="array" ref="D9">_xlfn.XLOOKUP(
   $A9,
   [1]Database!$A$5:$A$20,
   _xlfn.XLOOKUP(
      D$3,
      [1]Database!$D$4:$T$4,
      [1]Database!$D$5:$T$20
   )
)</f>
        <v>92.17</v>
      </c>
      <c r="E9" s="235" cm="1">
        <f t="array" ref="E9">_xlfn.XLOOKUP(
   $A9,
   [1]Database!$A$5:$A$20,
   _xlfn.XLOOKUP(
      E$3,
      [1]Database!$D$4:$T$4,
      [1]Database!$D$5:$T$20
   )
)</f>
        <v>4476000</v>
      </c>
      <c r="F9" s="235" cm="1">
        <f t="array" ref="F9">_xlfn.XLOOKUP(
   $A9,
   [1]Database!$A$5:$A$20,
   _xlfn.XLOOKUP(
      F$3,
      [1]Database!$D$4:$T$4,
      [1]Database!$D$5:$T$20
   )
)</f>
        <v>10800000</v>
      </c>
      <c r="G9" s="235" cm="1">
        <f t="array" ref="G9">_xlfn.XLOOKUP(
   $A9,
   [1]Database!$A$5:$A$20,
   _xlfn.XLOOKUP(
      G$3,
      [1]Database!$D$4:$T$4,
      [1]Database!$D$5:$T$20
   )
)</f>
        <v>16560000.000000002</v>
      </c>
      <c r="H9" s="238" cm="1">
        <f t="array" ref="H9">_xlfn.XLOOKUP(
   $A9,
   [1]Database!$A$5:$A$20,
   _xlfn.XLOOKUP(
      H$3,
      [1]Database!$D$4:$T$4,
      [1]Database!$D$5:$T$20
   )
)</f>
        <v>0.02</v>
      </c>
      <c r="I9" s="238" cm="1">
        <f t="array" ref="I9">_xlfn.XLOOKUP(
   $A9,
   [1]Database!$A$5:$A$20,
   _xlfn.XLOOKUP(
      I$3,
      [1]Database!$D$4:$T$4,
      [1]Database!$D$5:$T$20
   )
)</f>
        <v>0.14499999999999999</v>
      </c>
      <c r="J9" s="235" cm="1">
        <f t="array" ref="J9">_xlfn.XLOOKUP(
   $A9,
   [1]Database!$A$5:$A$20,
   _xlfn.XLOOKUP(
      J$3,
      [1]Database!$D$4:$T$4,
      [1]Database!$D$5:$T$20
   )
)</f>
        <v>0</v>
      </c>
      <c r="K9" s="235" cm="1">
        <f t="array" ref="K9">_xlfn.XLOOKUP(
   $A9,
   [1]Database!$A$5:$A$20,
   _xlfn.XLOOKUP(
      K$3,
      [1]Database!$D$4:$T$4,
      [1]Database!$D$5:$T$20
   )
)</f>
        <v>0</v>
      </c>
      <c r="L9" s="235" cm="1">
        <f t="array" ref="L9">_xlfn.XLOOKUP(
   $A9,
   [1]Database!$A$5:$A$20,
   _xlfn.XLOOKUP(
      L$3,
      [1]Database!$D$4:$T$4,
      [1]Database!$D$5:$T$20
   )
)</f>
        <v>0</v>
      </c>
      <c r="M9" s="238" cm="1">
        <f t="array" ref="M9">_xlfn.XLOOKUP(
   $A9,
   [1]Database!$A$5:$A$20,
   _xlfn.XLOOKUP(
      M$3,
      [1]Database!$D$4:$T$4,
      [1]Database!$D$5:$T$20
   )
)</f>
        <v>7.4999999999999997E-2</v>
      </c>
      <c r="N9" s="238" cm="1">
        <f t="array" ref="N9">_xlfn.XLOOKUP(
   $A9,
   [1]Database!$A$5:$A$20,
   _xlfn.XLOOKUP(
      N$3,
      [1]Database!$D$4:$T$4,
      [1]Database!$D$5:$T$20
   )
)</f>
        <v>0.03</v>
      </c>
      <c r="O9" s="235" cm="1">
        <f t="array" ref="O9">_xlfn.XLOOKUP(
   $A9,
   [1]Database!$A$5:$A$20,
   _xlfn.XLOOKUP(
      O$3,
      [1]Database!$D$4:$T$4,
      [1]Database!$D$5:$T$20
   )
)</f>
        <v>381.2</v>
      </c>
      <c r="P9" s="235" cm="1">
        <f t="array" ref="P9">_xlfn.XLOOKUP(
   $A9,
   [1]Database!$A$5:$A$20,
   _xlfn.XLOOKUP(
      P$3,
      [1]Database!$D$4:$T$4,
      [1]Database!$D$5:$T$20
   )
)</f>
        <v>328.47</v>
      </c>
    </row>
    <row r="10" spans="1:24" x14ac:dyDescent="0.45">
      <c r="A10" s="215" t="s">
        <v>33</v>
      </c>
      <c r="B10" s="215" t="s">
        <v>554</v>
      </c>
      <c r="C10" s="215" t="s">
        <v>35</v>
      </c>
      <c r="D10" s="235" cm="1">
        <f t="array" ref="D10">_xlfn.XLOOKUP(
   $A10,
   [1]Database!$A$5:$A$20,
   _xlfn.XLOOKUP(
      D$3,
      [1]Database!$D$4:$T$4,
      [1]Database!$D$5:$T$20
   )
)</f>
        <v>10.72</v>
      </c>
      <c r="E10" s="235" cm="1">
        <f t="array" ref="E10">_xlfn.XLOOKUP(
   $A10,
   [1]Database!$A$5:$A$20,
   _xlfn.XLOOKUP(
      E$3,
      [1]Database!$D$4:$T$4,
      [1]Database!$D$5:$T$20
   )
)</f>
        <v>541800</v>
      </c>
      <c r="F10" s="235" cm="1">
        <f t="array" ref="F10">_xlfn.XLOOKUP(
   $A10,
   [1]Database!$A$5:$A$20,
   _xlfn.XLOOKUP(
      F$3,
      [1]Database!$D$4:$T$4,
      [1]Database!$D$5:$T$20
   )
)</f>
        <v>1260000</v>
      </c>
      <c r="G10" s="235" cm="1">
        <f t="array" ref="G10">_xlfn.XLOOKUP(
   $A10,
   [1]Database!$A$5:$A$20,
   _xlfn.XLOOKUP(
      G$3,
      [1]Database!$D$4:$T$4,
      [1]Database!$D$5:$T$20
   )
)</f>
        <v>1890000</v>
      </c>
      <c r="H10" s="238" cm="1">
        <f t="array" ref="H10">_xlfn.XLOOKUP(
   $A10,
   [1]Database!$A$5:$A$20,
   _xlfn.XLOOKUP(
      H$3,
      [1]Database!$D$4:$T$4,
      [1]Database!$D$5:$T$20
   )
)</f>
        <v>0.15</v>
      </c>
      <c r="I10" s="238" cm="1">
        <f t="array" ref="I10">_xlfn.XLOOKUP(
   $A10,
   [1]Database!$A$5:$A$20,
   _xlfn.XLOOKUP(
      I$3,
      [1]Database!$D$4:$T$4,
      [1]Database!$D$5:$T$20
   )
)</f>
        <v>0.1</v>
      </c>
      <c r="J10" s="235" cm="1">
        <f t="array" ref="J10">_xlfn.XLOOKUP(
   $A10,
   [1]Database!$A$5:$A$20,
   _xlfn.XLOOKUP(
      J$3,
      [1]Database!$D$4:$T$4,
      [1]Database!$D$5:$T$20
   )
)</f>
        <v>23519.018667714194</v>
      </c>
      <c r="K10" s="235" cm="1">
        <f t="array" ref="K10">_xlfn.XLOOKUP(
   $A10,
   [1]Database!$A$5:$A$20,
   _xlfn.XLOOKUP(
      K$3,
      [1]Database!$D$4:$T$4,
      [1]Database!$D$5:$T$20
   )
)</f>
        <v>7000</v>
      </c>
      <c r="L10" s="235" cm="1">
        <f t="array" ref="L10">_xlfn.XLOOKUP(
   $A10,
   [1]Database!$A$5:$A$20,
   _xlfn.XLOOKUP(
      L$3,
      [1]Database!$D$4:$T$4,
      [1]Database!$D$5:$T$20
   )
)</f>
        <v>2136.331306739994</v>
      </c>
      <c r="M10" s="238" cm="1">
        <f t="array" ref="M10">_xlfn.XLOOKUP(
   $A10,
   [1]Database!$A$5:$A$20,
   _xlfn.XLOOKUP(
      M$3,
      [1]Database!$D$4:$T$4,
      [1]Database!$D$5:$T$20
   )
)</f>
        <v>0.125</v>
      </c>
      <c r="N10" s="238" cm="1">
        <f t="array" ref="N10">_xlfn.XLOOKUP(
   $A10,
   [1]Database!$A$5:$A$20,
   _xlfn.XLOOKUP(
      N$3,
      [1]Database!$D$4:$T$4,
      [1]Database!$D$5:$T$20
   )
)</f>
        <v>0.14000000000000001</v>
      </c>
      <c r="O10" s="235" cm="1">
        <f t="array" ref="O10">_xlfn.XLOOKUP(
   $A10,
   [1]Database!$A$5:$A$20,
   _xlfn.XLOOKUP(
      O$3,
      [1]Database!$D$4:$T$4,
      [1]Database!$D$5:$T$20
   )
)</f>
        <v>104.27</v>
      </c>
      <c r="P10" s="235" cm="1">
        <f t="array" ref="P10">_xlfn.XLOOKUP(
   $A10,
   [1]Database!$A$5:$A$20,
   _xlfn.XLOOKUP(
      P$3,
      [1]Database!$D$4:$T$4,
      [1]Database!$D$5:$T$20
   )
)</f>
        <v>87</v>
      </c>
    </row>
    <row r="11" spans="1:24" x14ac:dyDescent="0.45">
      <c r="A11" s="215" t="s">
        <v>555</v>
      </c>
      <c r="B11" s="215" t="s">
        <v>556</v>
      </c>
      <c r="C11" s="215" t="s">
        <v>557</v>
      </c>
      <c r="D11" s="235" cm="1">
        <f t="array" ref="D11">_xlfn.XLOOKUP(
   $A11,
   [1]Database!$A$5:$A$20,
   _xlfn.XLOOKUP(
      D$3,
      [1]Database!$D$4:$T$4,
      [1]Database!$D$5:$T$20
   )
)</f>
        <v>1114.74</v>
      </c>
      <c r="E11" s="235" cm="1">
        <f t="array" ref="E11">_xlfn.XLOOKUP(
   $A11,
   [1]Database!$A$5:$A$20,
   _xlfn.XLOOKUP(
      E$3,
      [1]Database!$D$4:$T$4,
      [1]Database!$D$5:$T$20
   )
)</f>
        <v>7332000</v>
      </c>
      <c r="F11" s="235" cm="1">
        <f t="array" ref="F11">_xlfn.XLOOKUP(
   $A11,
   [1]Database!$A$5:$A$20,
   _xlfn.XLOOKUP(
      F$3,
      [1]Database!$D$4:$T$4,
      [1]Database!$D$5:$T$20
   )
)</f>
        <v>19552000</v>
      </c>
      <c r="G11" s="235" cm="1">
        <f t="array" ref="G11">_xlfn.XLOOKUP(
   $A11,
   [1]Database!$A$5:$A$20,
   _xlfn.XLOOKUP(
      G$3,
      [1]Database!$D$4:$T$4,
      [1]Database!$D$5:$T$20
   )
)</f>
        <v>24440000</v>
      </c>
      <c r="H11" s="238" cm="1">
        <f t="array" ref="H11">_xlfn.XLOOKUP(
   $A11,
   [1]Database!$A$5:$A$20,
   _xlfn.XLOOKUP(
      H$3,
      [1]Database!$D$4:$T$4,
      [1]Database!$D$5:$T$20
   )
)</f>
        <v>0.25</v>
      </c>
      <c r="I11" s="238" cm="1">
        <f t="array" ref="I11">_xlfn.XLOOKUP(
   $A11,
   [1]Database!$A$5:$A$20,
   _xlfn.XLOOKUP(
      I$3,
      [1]Database!$D$4:$T$4,
      [1]Database!$D$5:$T$20
   )
)</f>
        <v>0.1</v>
      </c>
      <c r="J11" s="235" cm="1">
        <f t="array" ref="J11">_xlfn.XLOOKUP(
   $A11,
   [1]Database!$A$5:$A$20,
   _xlfn.XLOOKUP(
      J$3,
      [1]Database!$D$4:$T$4,
      [1]Database!$D$5:$T$20
   )
)</f>
        <v>1700000</v>
      </c>
      <c r="K11" s="235" cm="1">
        <f t="array" ref="K11">_xlfn.XLOOKUP(
   $A11,
   [1]Database!$A$5:$A$20,
   _xlfn.XLOOKUP(
      K$3,
      [1]Database!$D$4:$T$4,
      [1]Database!$D$5:$T$20
   )
)</f>
        <v>5500000</v>
      </c>
      <c r="L11" s="235" cm="1">
        <f t="array" ref="L11">_xlfn.XLOOKUP(
   $A11,
   [1]Database!$A$5:$A$20,
   _xlfn.XLOOKUP(
      L$3,
      [1]Database!$D$4:$T$4,
      [1]Database!$D$5:$T$20
   )
)</f>
        <v>420000</v>
      </c>
      <c r="M11" s="238" cm="1">
        <f t="array" ref="M11">_xlfn.XLOOKUP(
   $A11,
   [1]Database!$A$5:$A$20,
   _xlfn.XLOOKUP(
      M$3,
      [1]Database!$D$4:$T$4,
      [1]Database!$D$5:$T$20
   )
)</f>
        <v>0.1</v>
      </c>
      <c r="N11" s="238" cm="1">
        <f t="array" ref="N11">_xlfn.XLOOKUP(
   $A11,
   [1]Database!$A$5:$A$20,
   _xlfn.XLOOKUP(
      N$3,
      [1]Database!$D$4:$T$4,
      [1]Database!$D$5:$T$20
   )
)</f>
        <v>0.12</v>
      </c>
      <c r="O11" s="235" cm="1">
        <f t="array" ref="O11">_xlfn.XLOOKUP(
   $A11,
   [1]Database!$A$5:$A$20,
   _xlfn.XLOOKUP(
      O$3,
      [1]Database!$D$4:$T$4,
      [1]Database!$D$5:$T$20
   )
)</f>
        <v>19314.2</v>
      </c>
      <c r="P11" s="235" cm="1">
        <f t="array" ref="P11">_xlfn.XLOOKUP(
   $A11,
   [1]Database!$A$5:$A$20,
   _xlfn.XLOOKUP(
      P$3,
      [1]Database!$D$4:$T$4,
      [1]Database!$D$5:$T$20
   )
)</f>
        <v>16665.3</v>
      </c>
    </row>
    <row r="12" spans="1:24" x14ac:dyDescent="0.45">
      <c r="A12" s="215" t="s">
        <v>558</v>
      </c>
      <c r="B12" s="215" t="s">
        <v>559</v>
      </c>
      <c r="C12" s="215" t="s">
        <v>560</v>
      </c>
      <c r="D12" s="235" cm="1">
        <f t="array" ref="D12">_xlfn.XLOOKUP(
   $A12,
   [1]Database!$A$5:$A$20,
   _xlfn.XLOOKUP(
      D$3,
      [1]Database!$D$4:$T$4,
      [1]Database!$D$5:$T$20
   )
)</f>
        <v>3.972</v>
      </c>
      <c r="E12" s="235" cm="1">
        <f t="array" ref="E12">_xlfn.XLOOKUP(
   $A12,
   [1]Database!$A$5:$A$20,
   _xlfn.XLOOKUP(
      E$3,
      [1]Database!$D$4:$T$4,
      [1]Database!$D$5:$T$20
   )
)</f>
        <v>180000</v>
      </c>
      <c r="F12" s="235" cm="1">
        <f t="array" ref="F12">_xlfn.XLOOKUP(
   $A12,
   [1]Database!$A$5:$A$20,
   _xlfn.XLOOKUP(
      F$3,
      [1]Database!$D$4:$T$4,
      [1]Database!$D$5:$T$20
   )
)</f>
        <v>492000</v>
      </c>
      <c r="G12" s="235" cm="1">
        <f t="array" ref="G12">_xlfn.XLOOKUP(
   $A12,
   [1]Database!$A$5:$A$20,
   _xlfn.XLOOKUP(
      G$3,
      [1]Database!$D$4:$T$4,
      [1]Database!$D$5:$T$20
   )
)</f>
        <v>852000</v>
      </c>
      <c r="H12" s="238" cm="1">
        <f t="array" ref="H12">_xlfn.XLOOKUP(
   $A12,
   [1]Database!$A$5:$A$20,
   _xlfn.XLOOKUP(
      H$3,
      [1]Database!$D$4:$T$4,
      [1]Database!$D$5:$T$20
   )
)</f>
        <v>0.1</v>
      </c>
      <c r="I12" s="238" cm="1">
        <f t="array" ref="I12">_xlfn.XLOOKUP(
   $A12,
   [1]Database!$A$5:$A$20,
   _xlfn.XLOOKUP(
      I$3,
      [1]Database!$D$4:$T$4,
      [1]Database!$D$5:$T$20
   )
)</f>
        <v>0.05</v>
      </c>
      <c r="J12" s="235" cm="1">
        <f t="array" ref="J12">_xlfn.XLOOKUP(
   $A12,
   [1]Database!$A$5:$A$20,
   _xlfn.XLOOKUP(
      J$3,
      [1]Database!$D$4:$T$4,
      [1]Database!$D$5:$T$20
   )
)</f>
        <v>0</v>
      </c>
      <c r="K12" s="235" cm="1">
        <f t="array" ref="K12">_xlfn.XLOOKUP(
   $A12,
   [1]Database!$A$5:$A$20,
   _xlfn.XLOOKUP(
      K$3,
      [1]Database!$D$4:$T$4,
      [1]Database!$D$5:$T$20
   )
)</f>
        <v>0</v>
      </c>
      <c r="L12" s="235" cm="1">
        <f t="array" ref="L12">_xlfn.XLOOKUP(
   $A12,
   [1]Database!$A$5:$A$20,
   _xlfn.XLOOKUP(
      L$3,
      [1]Database!$D$4:$T$4,
      [1]Database!$D$5:$T$20
   )
)</f>
        <v>0</v>
      </c>
      <c r="M12" s="238" cm="1">
        <f t="array" ref="M12">_xlfn.XLOOKUP(
   $A12,
   [1]Database!$A$5:$A$20,
   _xlfn.XLOOKUP(
      M$3,
      [1]Database!$D$4:$T$4,
      [1]Database!$D$5:$T$20
   )
)</f>
        <v>7.2800000000000004E-2</v>
      </c>
      <c r="N12" s="238" cm="1">
        <f t="array" ref="N12">_xlfn.XLOOKUP(
   $A12,
   [1]Database!$A$5:$A$20,
   _xlfn.XLOOKUP(
      N$3,
      [1]Database!$D$4:$T$4,
      [1]Database!$D$5:$T$20
   )
)</f>
        <v>7.2800000000000004E-2</v>
      </c>
      <c r="O12" s="235" cm="1">
        <f t="array" ref="O12">_xlfn.XLOOKUP(
   $A12,
   [1]Database!$A$5:$A$20,
   _xlfn.XLOOKUP(
      O$3,
      [1]Database!$D$4:$T$4,
      [1]Database!$D$5:$T$20
   )
)</f>
        <v>21.26</v>
      </c>
      <c r="P12" s="235" cm="1">
        <f t="array" ref="P12">_xlfn.XLOOKUP(
   $A12,
   [1]Database!$A$5:$A$20,
   _xlfn.XLOOKUP(
      P$3,
      [1]Database!$D$4:$T$4,
      [1]Database!$D$5:$T$20
   )
)</f>
        <v>18.32</v>
      </c>
    </row>
    <row r="13" spans="1:24" x14ac:dyDescent="0.45">
      <c r="A13" s="215" t="s">
        <v>561</v>
      </c>
      <c r="B13" s="215" t="s">
        <v>562</v>
      </c>
      <c r="C13" s="215" t="s">
        <v>563</v>
      </c>
      <c r="D13" s="235" cm="1">
        <f t="array" ref="D13">_xlfn.XLOOKUP(
   $A13,
   [1]Database!$A$5:$A$20,
   _xlfn.XLOOKUP(
      D$3,
      [1]Database!$D$4:$T$4,
      [1]Database!$D$5:$T$20
   )
)</f>
        <v>41.99</v>
      </c>
      <c r="E13" s="235" cm="1">
        <f t="array" ref="E13">_xlfn.XLOOKUP(
   $A13,
   [1]Database!$A$5:$A$20,
   _xlfn.XLOOKUP(
      E$3,
      [1]Database!$D$4:$T$4,
      [1]Database!$D$5:$T$20
   )
)</f>
        <v>504000</v>
      </c>
      <c r="F13" s="235" cm="1">
        <f t="array" ref="F13">_xlfn.XLOOKUP(
   $A13,
   [1]Database!$A$5:$A$20,
   _xlfn.XLOOKUP(
      F$3,
      [1]Database!$D$4:$T$4,
      [1]Database!$D$5:$T$20
   )
)</f>
        <v>384000</v>
      </c>
      <c r="G13" s="235" cm="1">
        <f t="array" ref="G13">_xlfn.XLOOKUP(
   $A13,
   [1]Database!$A$5:$A$20,
   _xlfn.XLOOKUP(
      G$3,
      [1]Database!$D$4:$T$4,
      [1]Database!$D$5:$T$20
   )
)</f>
        <v>2400000</v>
      </c>
      <c r="H13" s="238" cm="1">
        <f t="array" ref="H13">_xlfn.XLOOKUP(
   $A13,
   [1]Database!$A$5:$A$20,
   _xlfn.XLOOKUP(
      H$3,
      [1]Database!$D$4:$T$4,
      [1]Database!$D$5:$T$20
   )
)</f>
        <v>0.15</v>
      </c>
      <c r="I13" s="238" cm="1">
        <f t="array" ref="I13">_xlfn.XLOOKUP(
   $A13,
   [1]Database!$A$5:$A$20,
   _xlfn.XLOOKUP(
      I$3,
      [1]Database!$D$4:$T$4,
      [1]Database!$D$5:$T$20
   )
)</f>
        <v>0.1</v>
      </c>
      <c r="J13" s="235" cm="1">
        <f t="array" ref="J13">_xlfn.XLOOKUP(
   $A13,
   [1]Database!$A$5:$A$20,
   _xlfn.XLOOKUP(
      J$3,
      [1]Database!$D$4:$T$4,
      [1]Database!$D$5:$T$20
   )
)</f>
        <v>0</v>
      </c>
      <c r="K13" s="235" cm="1">
        <f t="array" ref="K13">_xlfn.XLOOKUP(
   $A13,
   [1]Database!$A$5:$A$20,
   _xlfn.XLOOKUP(
      K$3,
      [1]Database!$D$4:$T$4,
      [1]Database!$D$5:$T$20
   )
)</f>
        <v>0</v>
      </c>
      <c r="L13" s="235" cm="1">
        <f t="array" ref="L13">_xlfn.XLOOKUP(
   $A13,
   [1]Database!$A$5:$A$20,
   _xlfn.XLOOKUP(
      L$3,
      [1]Database!$D$4:$T$4,
      [1]Database!$D$5:$T$20
   )
)</f>
        <v>0</v>
      </c>
      <c r="M13" s="238" cm="1">
        <f t="array" ref="M13">_xlfn.XLOOKUP(
   $A13,
   [1]Database!$A$5:$A$20,
   _xlfn.XLOOKUP(
      M$3,
      [1]Database!$D$4:$T$4,
      [1]Database!$D$5:$T$20
   )
)</f>
        <v>0.18</v>
      </c>
      <c r="N13" s="238" cm="1">
        <f t="array" ref="N13">_xlfn.XLOOKUP(
   $A13,
   [1]Database!$A$5:$A$20,
   _xlfn.XLOOKUP(
      N$3,
      [1]Database!$D$4:$T$4,
      [1]Database!$D$5:$T$20
   )
)</f>
        <v>0.09</v>
      </c>
      <c r="O13" s="235" cm="1">
        <f t="array" ref="O13">_xlfn.XLOOKUP(
   $A13,
   [1]Database!$A$5:$A$20,
   _xlfn.XLOOKUP(
      O$3,
      [1]Database!$D$4:$T$4,
      [1]Database!$D$5:$T$20
   )
)</f>
        <v>328.52</v>
      </c>
      <c r="P13" s="235" cm="1">
        <f t="array" ref="P13">_xlfn.XLOOKUP(
   $A13,
   [1]Database!$A$5:$A$20,
   _xlfn.XLOOKUP(
      P$3,
      [1]Database!$D$4:$T$4,
      [1]Database!$D$5:$T$20
   )
)</f>
        <v>282.99</v>
      </c>
    </row>
    <row r="14" spans="1:24" x14ac:dyDescent="0.45">
      <c r="A14" s="215" t="s">
        <v>533</v>
      </c>
      <c r="B14" s="215" t="s">
        <v>534</v>
      </c>
      <c r="C14" s="215" t="s">
        <v>535</v>
      </c>
      <c r="D14" s="235" cm="1">
        <f t="array" ref="D14">_xlfn.XLOOKUP(
   $A14,
   [1]Database!$A$5:$A$20,
   _xlfn.XLOOKUP(
      D$3,
      [1]Database!$D$4:$T$4,
      [1]Database!$D$5:$T$20
   )
)</f>
        <v>8.8469999999999995</v>
      </c>
      <c r="E14" s="235" cm="1">
        <f t="array" ref="E14">_xlfn.XLOOKUP(
   $A14,
   [1]Database!$A$5:$A$20,
   _xlfn.XLOOKUP(
      E$3,
      [1]Database!$D$4:$T$4,
      [1]Database!$D$5:$T$20
   )
)</f>
        <v>242879.99999999997</v>
      </c>
      <c r="F14" s="235" cm="1">
        <f t="array" ref="F14">_xlfn.XLOOKUP(
   $A14,
   [1]Database!$A$5:$A$20,
   _xlfn.XLOOKUP(
      F$3,
      [1]Database!$D$4:$T$4,
      [1]Database!$D$5:$T$20
   )
)</f>
        <v>473470.52499999997</v>
      </c>
      <c r="G14" s="235" cm="1">
        <f t="array" ref="G14">_xlfn.XLOOKUP(
   $A14,
   [1]Database!$A$5:$A$20,
   _xlfn.XLOOKUP(
      G$3,
      [1]Database!$D$4:$T$4,
      [1]Database!$D$5:$T$20
   )
)</f>
        <v>538167.68499999994</v>
      </c>
      <c r="H14" s="238" cm="1">
        <f t="array" ref="H14">_xlfn.XLOOKUP(
   $A14,
   [1]Database!$A$5:$A$20,
   _xlfn.XLOOKUP(
      H$3,
      [1]Database!$D$4:$T$4,
      [1]Database!$D$5:$T$20
   )
)</f>
        <v>0.1</v>
      </c>
      <c r="I14" s="238" cm="1">
        <f t="array" ref="I14">_xlfn.XLOOKUP(
   $A14,
   [1]Database!$A$5:$A$20,
   _xlfn.XLOOKUP(
      I$3,
      [1]Database!$D$4:$T$4,
      [1]Database!$D$5:$T$20
   )
)</f>
        <v>0.1</v>
      </c>
      <c r="J14" s="235" cm="1">
        <f t="array" ref="J14">_xlfn.XLOOKUP(
   $A14,
   [1]Database!$A$5:$A$20,
   _xlfn.XLOOKUP(
      J$3,
      [1]Database!$D$4:$T$4,
      [1]Database!$D$5:$T$20
   )
)</f>
        <v>16240</v>
      </c>
      <c r="K14" s="235" cm="1">
        <f t="array" ref="K14">_xlfn.XLOOKUP(
   $A14,
   [1]Database!$A$5:$A$20,
   _xlfn.XLOOKUP(
      K$3,
      [1]Database!$D$4:$T$4,
      [1]Database!$D$5:$T$20
   )
)</f>
        <v>20000</v>
      </c>
      <c r="L14" s="235" cm="1">
        <f t="array" ref="L14">_xlfn.XLOOKUP(
   $A14,
   [1]Database!$A$5:$A$20,
   _xlfn.XLOOKUP(
      L$3,
      [1]Database!$D$4:$T$4,
      [1]Database!$D$5:$T$20
   )
)</f>
        <v>3240</v>
      </c>
      <c r="M14" s="238" cm="1">
        <f t="array" ref="M14">_xlfn.XLOOKUP(
   $A14,
   [1]Database!$A$5:$A$20,
   _xlfn.XLOOKUP(
      M$3,
      [1]Database!$D$4:$T$4,
      [1]Database!$D$5:$T$20
   )
)</f>
        <v>0.1</v>
      </c>
      <c r="N14" s="238" cm="1">
        <f t="array" ref="N14">_xlfn.XLOOKUP(
   $A14,
   [1]Database!$A$5:$A$20,
   _xlfn.XLOOKUP(
      N$3,
      [1]Database!$D$4:$T$4,
      [1]Database!$D$5:$T$20
   )
)</f>
        <v>8.6300000000000002E-2</v>
      </c>
      <c r="O14" s="235" cm="1">
        <f t="array" ref="O14">_xlfn.XLOOKUP(
   $A14,
   [1]Database!$A$5:$A$20,
   _xlfn.XLOOKUP(
      O$3,
      [1]Database!$D$4:$T$4,
      [1]Database!$D$5:$T$20
   )
)</f>
        <v>67.87</v>
      </c>
      <c r="P14" s="235" cm="1">
        <f t="array" ref="P14">_xlfn.XLOOKUP(
   $A14,
   [1]Database!$A$5:$A$20,
   _xlfn.XLOOKUP(
      P$3,
      [1]Database!$D$4:$T$4,
      [1]Database!$D$5:$T$20
   )
)</f>
        <v>58.89</v>
      </c>
    </row>
    <row r="15" spans="1:24" x14ac:dyDescent="0.45">
      <c r="A15" s="215" t="s">
        <v>564</v>
      </c>
      <c r="B15" s="215" t="s">
        <v>565</v>
      </c>
      <c r="C15" s="215" t="s">
        <v>566</v>
      </c>
      <c r="D15" s="235" cm="1">
        <f t="array" ref="D15">_xlfn.XLOOKUP(
   $A15,
   [1]Database!$A$5:$A$20,
   _xlfn.XLOOKUP(
      D$3,
      [1]Database!$D$4:$T$4,
      [1]Database!$D$5:$T$20
   )
)</f>
        <v>1.7949999999999999</v>
      </c>
      <c r="E15" s="235" cm="1">
        <f t="array" ref="E15">_xlfn.XLOOKUP(
   $A15,
   [1]Database!$A$5:$A$20,
   _xlfn.XLOOKUP(
      E$3,
      [1]Database!$D$4:$T$4,
      [1]Database!$D$5:$T$20
   )
)</f>
        <v>231858</v>
      </c>
      <c r="F15" s="235" cm="1">
        <f t="array" ref="F15">_xlfn.XLOOKUP(
   $A15,
   [1]Database!$A$5:$A$20,
   _xlfn.XLOOKUP(
      F$3,
      [1]Database!$D$4:$T$4,
      [1]Database!$D$5:$T$20
   )
)</f>
        <v>494630.40000000002</v>
      </c>
      <c r="G15" s="235" cm="1">
        <f t="array" ref="G15">_xlfn.XLOOKUP(
   $A15,
   [1]Database!$A$5:$A$20,
   _xlfn.XLOOKUP(
      G$3,
      [1]Database!$D$4:$T$4,
      [1]Database!$D$5:$T$20
   )
)</f>
        <v>772860</v>
      </c>
      <c r="H15" s="238" cm="1">
        <f t="array" ref="H15">_xlfn.XLOOKUP(
   $A15,
   [1]Database!$A$5:$A$20,
   _xlfn.XLOOKUP(
      H$3,
      [1]Database!$D$4:$T$4,
      [1]Database!$D$5:$T$20
   )
)</f>
        <v>0.2</v>
      </c>
      <c r="I15" s="238" cm="1">
        <f t="array" ref="I15">_xlfn.XLOOKUP(
   $A15,
   [1]Database!$A$5:$A$20,
   _xlfn.XLOOKUP(
      I$3,
      [1]Database!$D$4:$T$4,
      [1]Database!$D$5:$T$20
   )
)</f>
        <v>0.05</v>
      </c>
      <c r="J15" s="235" cm="1">
        <f t="array" ref="J15">_xlfn.XLOOKUP(
   $A15,
   [1]Database!$A$5:$A$20,
   _xlfn.XLOOKUP(
      J$3,
      [1]Database!$D$4:$T$4,
      [1]Database!$D$5:$T$20
   )
)</f>
        <v>0</v>
      </c>
      <c r="K15" s="235" cm="1">
        <f t="array" ref="K15">_xlfn.XLOOKUP(
   $A15,
   [1]Database!$A$5:$A$20,
   _xlfn.XLOOKUP(
      K$3,
      [1]Database!$D$4:$T$4,
      [1]Database!$D$5:$T$20
   )
)</f>
        <v>0</v>
      </c>
      <c r="L15" s="235" cm="1">
        <f t="array" ref="L15">_xlfn.XLOOKUP(
   $A15,
   [1]Database!$A$5:$A$20,
   _xlfn.XLOOKUP(
      L$3,
      [1]Database!$D$4:$T$4,
      [1]Database!$D$5:$T$20
   )
)</f>
        <v>0</v>
      </c>
      <c r="M15" s="238" cm="1">
        <f t="array" ref="M15">_xlfn.XLOOKUP(
   $A15,
   [1]Database!$A$5:$A$20,
   _xlfn.XLOOKUP(
      M$3,
      [1]Database!$D$4:$T$4,
      [1]Database!$D$5:$T$20
   )
)</f>
        <v>0.10249999999999999</v>
      </c>
      <c r="N15" s="238" cm="1">
        <f t="array" ref="N15">_xlfn.XLOOKUP(
   $A15,
   [1]Database!$A$5:$A$20,
   _xlfn.XLOOKUP(
      N$3,
      [1]Database!$D$4:$T$4,
      [1]Database!$D$5:$T$20
   )
)</f>
        <v>0.27500000000000002</v>
      </c>
      <c r="O15" s="235" cm="1">
        <f t="array" ref="O15">_xlfn.XLOOKUP(
   $A15,
   [1]Database!$A$5:$A$20,
   _xlfn.XLOOKUP(
      O$3,
      [1]Database!$D$4:$T$4,
      [1]Database!$D$5:$T$20
   )
)</f>
        <v>19.88</v>
      </c>
      <c r="P15" s="235" cm="1">
        <f t="array" ref="P15">_xlfn.XLOOKUP(
   $A15,
   [1]Database!$A$5:$A$20,
   _xlfn.XLOOKUP(
      P$3,
      [1]Database!$D$4:$T$4,
      [1]Database!$D$5:$T$20
   )
)</f>
        <v>17.13</v>
      </c>
    </row>
    <row r="16" spans="1:24" x14ac:dyDescent="0.45">
      <c r="A16" s="215" t="s">
        <v>567</v>
      </c>
      <c r="B16" s="215" t="s">
        <v>568</v>
      </c>
      <c r="C16" s="215" t="s">
        <v>569</v>
      </c>
      <c r="D16" s="235" cm="1">
        <f t="array" ref="D16">_xlfn.XLOOKUP(
   $A16,
   [1]Database!$A$5:$A$20,
   _xlfn.XLOOKUP(
      D$3,
      [1]Database!$D$4:$T$4,
      [1]Database!$D$5:$T$20
   )
)</f>
        <v>4.3499999999999996</v>
      </c>
      <c r="E16" s="235" cm="1">
        <f t="array" ref="E16">_xlfn.XLOOKUP(
   $A16,
   [1]Database!$A$5:$A$20,
   _xlfn.XLOOKUP(
      E$3,
      [1]Database!$D$4:$T$4,
      [1]Database!$D$5:$T$20
   )
)</f>
        <v>281880</v>
      </c>
      <c r="F16" s="235" cm="1">
        <f t="array" ref="F16">_xlfn.XLOOKUP(
   $A16,
   [1]Database!$A$5:$A$20,
   _xlfn.XLOOKUP(
      F$3,
      [1]Database!$D$4:$T$4,
      [1]Database!$D$5:$T$20
   )
)</f>
        <v>548100</v>
      </c>
      <c r="G16" s="235" cm="1">
        <f t="array" ref="G16">_xlfn.XLOOKUP(
   $A16,
   [1]Database!$A$5:$A$20,
   _xlfn.XLOOKUP(
      G$3,
      [1]Database!$D$4:$T$4,
      [1]Database!$D$5:$T$20
   )
)</f>
        <v>532440</v>
      </c>
      <c r="H16" s="238" cm="1">
        <f t="array" ref="H16">_xlfn.XLOOKUP(
   $A16,
   [1]Database!$A$5:$A$20,
   _xlfn.XLOOKUP(
      H$3,
      [1]Database!$D$4:$T$4,
      [1]Database!$D$5:$T$20
   )
)</f>
        <v>0.1</v>
      </c>
      <c r="I16" s="238" cm="1">
        <f t="array" ref="I16">_xlfn.XLOOKUP(
   $A16,
   [1]Database!$A$5:$A$20,
   _xlfn.XLOOKUP(
      I$3,
      [1]Database!$D$4:$T$4,
      [1]Database!$D$5:$T$20
   )
)</f>
        <v>0.1</v>
      </c>
      <c r="J16" s="235" cm="1">
        <f t="array" ref="J16">_xlfn.XLOOKUP(
   $A16,
   [1]Database!$A$5:$A$20,
   _xlfn.XLOOKUP(
      J$3,
      [1]Database!$D$4:$T$4,
      [1]Database!$D$5:$T$20
   )
)</f>
        <v>0</v>
      </c>
      <c r="K16" s="235" cm="1">
        <f t="array" ref="K16">_xlfn.XLOOKUP(
   $A16,
   [1]Database!$A$5:$A$20,
   _xlfn.XLOOKUP(
      K$3,
      [1]Database!$D$4:$T$4,
      [1]Database!$D$5:$T$20
   )
)</f>
        <v>0</v>
      </c>
      <c r="L16" s="235" cm="1">
        <f t="array" ref="L16">_xlfn.XLOOKUP(
   $A16,
   [1]Database!$A$5:$A$20,
   _xlfn.XLOOKUP(
      L$3,
      [1]Database!$D$4:$T$4,
      [1]Database!$D$5:$T$20
   )
)</f>
        <v>0</v>
      </c>
      <c r="M16" s="238" cm="1">
        <f t="array" ref="M16">_xlfn.XLOOKUP(
   $A16,
   [1]Database!$A$5:$A$20,
   _xlfn.XLOOKUP(
      M$3,
      [1]Database!$D$4:$T$4,
      [1]Database!$D$5:$T$20
   )
)</f>
        <v>0.42499999999999999</v>
      </c>
      <c r="N16" s="238" cm="1">
        <f t="array" ref="N16">_xlfn.XLOOKUP(
   $A16,
   [1]Database!$A$5:$A$20,
   _xlfn.XLOOKUP(
      N$3,
      [1]Database!$D$4:$T$4,
      [1]Database!$D$5:$T$20
   )
)</f>
        <v>0.39500000000000002</v>
      </c>
      <c r="O16" s="235" cm="1">
        <f t="array" ref="O16">_xlfn.XLOOKUP(
   $A16,
   [1]Database!$A$5:$A$20,
   _xlfn.XLOOKUP(
      O$3,
      [1]Database!$D$4:$T$4,
      [1]Database!$D$5:$T$20
   )
)</f>
        <v>49.29</v>
      </c>
      <c r="P16" s="235" cm="1">
        <f t="array" ref="P16">_xlfn.XLOOKUP(
   $A16,
   [1]Database!$A$5:$A$20,
   _xlfn.XLOOKUP(
      P$3,
      [1]Database!$D$4:$T$4,
      [1]Database!$D$5:$T$20
   )
)</f>
        <v>42.43</v>
      </c>
    </row>
    <row r="17" spans="1:16" x14ac:dyDescent="0.45">
      <c r="A17" s="215" t="s">
        <v>570</v>
      </c>
      <c r="B17" s="215" t="s">
        <v>571</v>
      </c>
      <c r="C17" s="215" t="s">
        <v>572</v>
      </c>
      <c r="D17" s="235" cm="1">
        <f t="array" ref="D17">_xlfn.XLOOKUP(
   $A17,
   [1]Database!$A$5:$A$20,
   _xlfn.XLOOKUP(
      D$3,
      [1]Database!$D$4:$T$4,
      [1]Database!$D$5:$T$20
   )
)</f>
        <v>0.34599999999999997</v>
      </c>
      <c r="E17" s="235" cm="1">
        <f t="array" ref="E17">_xlfn.XLOOKUP(
   $A17,
   [1]Database!$A$5:$A$20,
   _xlfn.XLOOKUP(
      E$3,
      [1]Database!$D$4:$T$4,
      [1]Database!$D$5:$T$20
   )
)</f>
        <v>39900</v>
      </c>
      <c r="F17" s="235" cm="1">
        <f t="array" ref="F17">_xlfn.XLOOKUP(
   $A17,
   [1]Database!$A$5:$A$20,
   _xlfn.XLOOKUP(
      F$3,
      [1]Database!$D$4:$T$4,
      [1]Database!$D$5:$T$20
   )
)</f>
        <v>57190</v>
      </c>
      <c r="G17" s="235" cm="1">
        <f t="array" ref="G17">_xlfn.XLOOKUP(
   $A17,
   [1]Database!$A$5:$A$20,
   _xlfn.XLOOKUP(
      G$3,
      [1]Database!$D$4:$T$4,
      [1]Database!$D$5:$T$20
   )
)</f>
        <v>66500</v>
      </c>
      <c r="H17" s="238" cm="1">
        <f t="array" ref="H17">_xlfn.XLOOKUP(
   $A17,
   [1]Database!$A$5:$A$20,
   _xlfn.XLOOKUP(
      H$3,
      [1]Database!$D$4:$T$4,
      [1]Database!$D$5:$T$20
   )
)</f>
        <v>0.18</v>
      </c>
      <c r="I17" s="238" cm="1">
        <f t="array" ref="I17">_xlfn.XLOOKUP(
   $A17,
   [1]Database!$A$5:$A$20,
   _xlfn.XLOOKUP(
      I$3,
      [1]Database!$D$4:$T$4,
      [1]Database!$D$5:$T$20
   )
)</f>
        <v>0.03</v>
      </c>
      <c r="J17" s="235" cm="1">
        <f t="array" ref="J17">_xlfn.XLOOKUP(
   $A17,
   [1]Database!$A$5:$A$20,
   _xlfn.XLOOKUP(
      J$3,
      [1]Database!$D$4:$T$4,
      [1]Database!$D$5:$T$20
   )
)</f>
        <v>0</v>
      </c>
      <c r="K17" s="235" cm="1">
        <f t="array" ref="K17">_xlfn.XLOOKUP(
   $A17,
   [1]Database!$A$5:$A$20,
   _xlfn.XLOOKUP(
      K$3,
      [1]Database!$D$4:$T$4,
      [1]Database!$D$5:$T$20
   )
)</f>
        <v>0</v>
      </c>
      <c r="L17" s="235" cm="1">
        <f t="array" ref="L17">_xlfn.XLOOKUP(
   $A17,
   [1]Database!$A$5:$A$20,
   _xlfn.XLOOKUP(
      L$3,
      [1]Database!$D$4:$T$4,
      [1]Database!$D$5:$T$20
   )
)</f>
        <v>0</v>
      </c>
      <c r="M17" s="238" cm="1">
        <f t="array" ref="M17">_xlfn.XLOOKUP(
   $A17,
   [1]Database!$A$5:$A$20,
   _xlfn.XLOOKUP(
      M$3,
      [1]Database!$D$4:$T$4,
      [1]Database!$D$5:$T$20
   )
)</f>
        <v>0.112</v>
      </c>
      <c r="N17" s="238" cm="1">
        <f t="array" ref="N17">_xlfn.XLOOKUP(
   $A17,
   [1]Database!$A$5:$A$20,
   _xlfn.XLOOKUP(
      N$3,
      [1]Database!$D$4:$T$4,
      [1]Database!$D$5:$T$20
   )
)</f>
        <v>0.113</v>
      </c>
      <c r="O17" s="235" cm="1">
        <f t="array" ref="O17">_xlfn.XLOOKUP(
   $A17,
   [1]Database!$A$5:$A$20,
   _xlfn.XLOOKUP(
      O$3,
      [1]Database!$D$4:$T$4,
      [1]Database!$D$5:$T$20
   )
)</f>
        <v>0.88</v>
      </c>
      <c r="P17" s="235" cm="1">
        <f t="array" ref="P17">_xlfn.XLOOKUP(
   $A17,
   [1]Database!$A$5:$A$20,
   _xlfn.XLOOKUP(
      P$3,
      [1]Database!$D$4:$T$4,
      [1]Database!$D$5:$T$20
   )
)</f>
        <v>0.76</v>
      </c>
    </row>
    <row r="18" spans="1:16" x14ac:dyDescent="0.45">
      <c r="A18" s="215" t="s">
        <v>573</v>
      </c>
      <c r="B18" s="215" t="s">
        <v>574</v>
      </c>
      <c r="C18" s="215" t="s">
        <v>575</v>
      </c>
      <c r="D18" s="235" cm="1">
        <f t="array" ref="D18">_xlfn.XLOOKUP(
   $A18,
   [1]Database!$A$5:$A$20,
   _xlfn.XLOOKUP(
      D$3,
      [1]Database!$D$4:$T$4,
      [1]Database!$D$5:$T$20
   )
)</f>
        <v>0.14899999999999999</v>
      </c>
      <c r="E18" s="235" cm="1">
        <f t="array" ref="E18">_xlfn.XLOOKUP(
   $A18,
   [1]Database!$A$5:$A$20,
   _xlfn.XLOOKUP(
      E$3,
      [1]Database!$D$4:$T$4,
      [1]Database!$D$5:$T$20
   )
)</f>
        <v>98250.599999999991</v>
      </c>
      <c r="F18" s="235" cm="1">
        <f t="array" ref="F18">_xlfn.XLOOKUP(
   $A18,
   [1]Database!$A$5:$A$20,
   _xlfn.XLOOKUP(
      F$3,
      [1]Database!$D$4:$T$4,
      [1]Database!$D$5:$T$20
   )
)</f>
        <v>130993.79999999999</v>
      </c>
      <c r="G18" s="235" cm="1">
        <f t="array" ref="G18">_xlfn.XLOOKUP(
   $A18,
   [1]Database!$A$5:$A$20,
   _xlfn.XLOOKUP(
      G$3,
      [1]Database!$D$4:$T$4,
      [1]Database!$D$5:$T$20
   )
)</f>
        <v>117125.4</v>
      </c>
      <c r="H18" s="238" cm="1">
        <f t="array" ref="H18">_xlfn.XLOOKUP(
   $A18,
   [1]Database!$A$5:$A$20,
   _xlfn.XLOOKUP(
      H$3,
      [1]Database!$D$4:$T$4,
      [1]Database!$D$5:$T$20
   )
)</f>
        <v>0.1</v>
      </c>
      <c r="I18" s="238" cm="1">
        <f t="array" ref="I18">_xlfn.XLOOKUP(
   $A18,
   [1]Database!$A$5:$A$20,
   _xlfn.XLOOKUP(
      I$3,
      [1]Database!$D$4:$T$4,
      [1]Database!$D$5:$T$20
   )
)</f>
        <v>0.1</v>
      </c>
      <c r="J18" s="235" cm="1">
        <f t="array" ref="J18">_xlfn.XLOOKUP(
   $A18,
   [1]Database!$A$5:$A$20,
   _xlfn.XLOOKUP(
      J$3,
      [1]Database!$D$4:$T$4,
      [1]Database!$D$5:$T$20
   )
)</f>
        <v>2.4700000000000002</v>
      </c>
      <c r="K18" s="235" cm="1">
        <f t="array" ref="K18">_xlfn.XLOOKUP(
   $A18,
   [1]Database!$A$5:$A$20,
   _xlfn.XLOOKUP(
      K$3,
      [1]Database!$D$4:$T$4,
      [1]Database!$D$5:$T$20
   )
)</f>
        <v>0</v>
      </c>
      <c r="L18" s="235" cm="1">
        <f t="array" ref="L18">_xlfn.XLOOKUP(
   $A18,
   [1]Database!$A$5:$A$20,
   _xlfn.XLOOKUP(
      L$3,
      [1]Database!$D$4:$T$4,
      [1]Database!$D$5:$T$20
   )
)</f>
        <v>0</v>
      </c>
      <c r="M18" s="238" cm="1">
        <f t="array" ref="M18">_xlfn.XLOOKUP(
   $A18,
   [1]Database!$A$5:$A$20,
   _xlfn.XLOOKUP(
      M$3,
      [1]Database!$D$4:$T$4,
      [1]Database!$D$5:$T$20
   )
)</f>
        <v>3.8899999999999997E-2</v>
      </c>
      <c r="N18" s="238" cm="1">
        <f t="array" ref="N18">_xlfn.XLOOKUP(
   $A18,
   [1]Database!$A$5:$A$20,
   _xlfn.XLOOKUP(
      N$3,
      [1]Database!$D$4:$T$4,
      [1]Database!$D$5:$T$20
   )
)</f>
        <v>3.6400000000000002E-2</v>
      </c>
      <c r="O18" s="235" cm="1">
        <f t="array" ref="O18">_xlfn.XLOOKUP(
   $A18,
   [1]Database!$A$5:$A$20,
   _xlfn.XLOOKUP(
      O$3,
      [1]Database!$D$4:$T$4,
      [1]Database!$D$5:$T$20
   )
)</f>
        <v>1.1599999999999999</v>
      </c>
      <c r="P18" s="235" cm="1">
        <f t="array" ref="P18">_xlfn.XLOOKUP(
   $A18,
   [1]Database!$A$5:$A$20,
   _xlfn.XLOOKUP(
      P$3,
      [1]Database!$D$4:$T$4,
      [1]Database!$D$5:$T$20
   )
)</f>
        <v>1</v>
      </c>
    </row>
    <row r="19" spans="1:16" x14ac:dyDescent="0.45">
      <c r="A19" s="215" t="s">
        <v>530</v>
      </c>
      <c r="B19" s="215" t="s">
        <v>531</v>
      </c>
      <c r="C19" s="215" t="s">
        <v>532</v>
      </c>
      <c r="D19" s="235" cm="1">
        <f t="array" ref="D19">_xlfn.XLOOKUP(
   $A19,
   [1]Database!$A$5:$A$20,
   _xlfn.XLOOKUP(
      D$3,
      [1]Database!$D$4:$T$4,
      [1]Database!$D$5:$T$20
   )
)</f>
        <v>1744</v>
      </c>
      <c r="E19" s="235" cm="1">
        <f t="array" ref="E19">_xlfn.XLOOKUP(
   $A19,
   [1]Database!$A$5:$A$20,
   _xlfn.XLOOKUP(
      E$3,
      [1]Database!$D$4:$T$4,
      [1]Database!$D$5:$T$20
   )
)</f>
        <v>139920000</v>
      </c>
      <c r="F19" s="235" cm="1">
        <f t="array" ref="F19">_xlfn.XLOOKUP(
   $A19,
   [1]Database!$A$5:$A$20,
   _xlfn.XLOOKUP(
      F$3,
      [1]Database!$D$4:$T$4,
      [1]Database!$D$5:$T$20
   )
)</f>
        <v>827162156.94999993</v>
      </c>
      <c r="G19" s="235" cm="1">
        <f t="array" ref="G19">_xlfn.XLOOKUP(
   $A19,
   [1]Database!$A$5:$A$20,
   _xlfn.XLOOKUP(
      G$3,
      [1]Database!$D$4:$T$4,
      [1]Database!$D$5:$T$20
   )
)</f>
        <v>921734762.02499998</v>
      </c>
      <c r="H19" s="238" cm="1">
        <f t="array" ref="H19">_xlfn.XLOOKUP(
   $A19,
   [1]Database!$A$5:$A$20,
   _xlfn.XLOOKUP(
      H$3,
      [1]Database!$D$4:$T$4,
      [1]Database!$D$5:$T$20
   )
)</f>
        <v>0.1</v>
      </c>
      <c r="I19" s="238" cm="1">
        <f t="array" ref="I19">_xlfn.XLOOKUP(
   $A19,
   [1]Database!$A$5:$A$20,
   _xlfn.XLOOKUP(
      I$3,
      [1]Database!$D$4:$T$4,
      [1]Database!$D$5:$T$20
   )
)</f>
        <v>0.1</v>
      </c>
      <c r="J19" s="235" cm="1">
        <f t="array" ref="J19">_xlfn.XLOOKUP(
   $A19,
   [1]Database!$A$5:$A$20,
   _xlfn.XLOOKUP(
      J$3,
      [1]Database!$D$4:$T$4,
      [1]Database!$D$5:$T$20
   )
)</f>
        <v>3586051.86</v>
      </c>
      <c r="K19" s="235" cm="1">
        <f t="array" ref="K19">_xlfn.XLOOKUP(
   $A19,
   [1]Database!$A$5:$A$20,
   _xlfn.XLOOKUP(
      K$3,
      [1]Database!$D$4:$T$4,
      [1]Database!$D$5:$T$20
   )
)</f>
        <v>3403710.24</v>
      </c>
      <c r="L19" s="235" cm="1">
        <f t="array" ref="L19">_xlfn.XLOOKUP(
   $A19,
   [1]Database!$A$5:$A$20,
   _xlfn.XLOOKUP(
      L$3,
      [1]Database!$D$4:$T$4,
      [1]Database!$D$5:$T$20
   )
)</f>
        <v>5470248.5999999996</v>
      </c>
      <c r="M19" s="238" cm="1">
        <f t="array" ref="M19">_xlfn.XLOOKUP(
   $A19,
   [1]Database!$A$5:$A$20,
   _xlfn.XLOOKUP(
      M$3,
      [1]Database!$D$4:$T$4,
      [1]Database!$D$5:$T$20
   )
)</f>
        <v>5.8999999999999997E-2</v>
      </c>
      <c r="N19" s="238" cm="1">
        <f t="array" ref="N19">_xlfn.XLOOKUP(
   $A19,
   [1]Database!$A$5:$A$20,
   _xlfn.XLOOKUP(
      N$3,
      [1]Database!$D$4:$T$4,
      [1]Database!$D$5:$T$20
   )
)</f>
        <v>6.2E-2</v>
      </c>
      <c r="O19" s="235" cm="1">
        <f t="array" ref="O19">_xlfn.XLOOKUP(
   $A19,
   [1]Database!$A$5:$A$20,
   _xlfn.XLOOKUP(
      O$3,
      [1]Database!$D$4:$T$4,
      [1]Database!$D$5:$T$20
   )
)</f>
        <v>30390.27</v>
      </c>
      <c r="P19" s="235" cm="1">
        <f t="array" ref="P19">_xlfn.XLOOKUP(
   $A19,
   [1]Database!$A$5:$A$20,
   _xlfn.XLOOKUP(
      P$3,
      [1]Database!$D$4:$T$4,
      [1]Database!$D$5:$T$20
   )
)</f>
        <v>26369</v>
      </c>
    </row>
    <row r="20" spans="1:16" x14ac:dyDescent="0.45">
      <c r="A20" s="215"/>
      <c r="B20" s="215"/>
      <c r="C20" s="215"/>
      <c r="D20" s="215"/>
      <c r="E20" s="215"/>
      <c r="F20" s="215"/>
      <c r="G20" s="215"/>
      <c r="H20" s="215"/>
      <c r="I20" s="215"/>
      <c r="J20" s="215"/>
      <c r="K20" s="215"/>
      <c r="L20" s="215"/>
      <c r="M20" s="215"/>
      <c r="N20" s="215"/>
      <c r="O20" s="215"/>
      <c r="P20" s="215"/>
    </row>
    <row r="21" spans="1:16" x14ac:dyDescent="0.45">
      <c r="A21" s="215"/>
      <c r="B21" s="215"/>
      <c r="C21" s="215"/>
      <c r="D21" s="215"/>
      <c r="E21" s="215"/>
      <c r="F21" s="215"/>
      <c r="G21" s="215"/>
      <c r="H21" s="215"/>
      <c r="I21" s="215"/>
      <c r="J21" s="215"/>
      <c r="K21" s="215"/>
      <c r="L21" s="215"/>
      <c r="M21" s="215"/>
      <c r="N21" s="215"/>
      <c r="O21" s="215"/>
      <c r="P21" s="215"/>
    </row>
    <row r="22" spans="1:16" x14ac:dyDescent="0.45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215"/>
      <c r="M22" s="215"/>
      <c r="N22" s="215"/>
      <c r="O22" s="215"/>
      <c r="P22" s="215"/>
    </row>
    <row r="23" spans="1:16" x14ac:dyDescent="0.45">
      <c r="A23" s="215"/>
      <c r="B23" s="215"/>
      <c r="C23" s="215"/>
      <c r="D23" s="215"/>
      <c r="E23" s="215"/>
      <c r="F23" s="215"/>
      <c r="G23" s="215"/>
      <c r="H23" s="215"/>
      <c r="I23" s="215"/>
      <c r="J23" s="215"/>
      <c r="K23" s="215"/>
      <c r="L23" s="215"/>
      <c r="M23" s="215"/>
      <c r="N23" s="215"/>
      <c r="O23" s="215"/>
      <c r="P23" s="215"/>
    </row>
    <row r="24" spans="1:16" x14ac:dyDescent="0.45">
      <c r="A24" s="215"/>
      <c r="B24" s="215"/>
      <c r="C24" s="215"/>
      <c r="D24" s="215"/>
      <c r="E24" s="215"/>
      <c r="F24" s="215"/>
      <c r="G24" s="215"/>
      <c r="H24" s="215"/>
      <c r="I24" s="215"/>
      <c r="J24" s="215"/>
      <c r="K24" s="215"/>
      <c r="L24" s="215"/>
      <c r="M24" s="215"/>
      <c r="N24" s="215"/>
      <c r="O24" s="215"/>
      <c r="P24" s="215"/>
    </row>
    <row r="25" spans="1:16" x14ac:dyDescent="0.45">
      <c r="A25" s="215"/>
      <c r="B25" s="215"/>
      <c r="C25" s="215"/>
      <c r="D25" s="215"/>
      <c r="E25" s="215"/>
      <c r="F25" s="215"/>
      <c r="G25" s="215"/>
      <c r="H25" s="215"/>
      <c r="I25" s="215"/>
      <c r="J25" s="215"/>
      <c r="K25" s="215"/>
      <c r="L25" s="215"/>
      <c r="M25" s="215"/>
      <c r="N25" s="215"/>
      <c r="O25" s="215"/>
      <c r="P25" s="215"/>
    </row>
    <row r="26" spans="1:16" x14ac:dyDescent="0.45">
      <c r="A26" s="215"/>
      <c r="B26" s="215"/>
      <c r="C26" s="215"/>
      <c r="D26" s="215"/>
      <c r="E26" s="215"/>
      <c r="F26" s="215"/>
      <c r="G26" s="215"/>
      <c r="H26" s="215"/>
      <c r="I26" s="215"/>
      <c r="J26" s="215"/>
      <c r="K26" s="215"/>
      <c r="L26" s="215"/>
      <c r="M26" s="215"/>
      <c r="N26" s="216"/>
      <c r="O26" s="215"/>
      <c r="P26" s="215"/>
    </row>
    <row r="27" spans="1:16" x14ac:dyDescent="0.45">
      <c r="A27" s="215"/>
      <c r="B27" s="215"/>
      <c r="C27" s="215"/>
      <c r="D27" s="215"/>
      <c r="E27" s="215"/>
      <c r="F27" s="215"/>
      <c r="G27" s="215"/>
      <c r="H27" s="215"/>
      <c r="I27" s="215"/>
      <c r="J27" s="215"/>
      <c r="K27" s="215"/>
      <c r="L27" s="215"/>
      <c r="M27" s="215"/>
      <c r="N27" s="215"/>
      <c r="O27" s="215"/>
      <c r="P27" s="215"/>
    </row>
    <row r="28" spans="1:16" x14ac:dyDescent="0.45">
      <c r="A28" s="215"/>
      <c r="B28" s="215"/>
      <c r="C28" s="215"/>
      <c r="D28" s="215"/>
      <c r="E28" s="215"/>
      <c r="F28" s="215"/>
      <c r="G28" s="215"/>
      <c r="H28" s="215"/>
      <c r="I28" s="215"/>
      <c r="J28" s="215"/>
      <c r="K28" s="215"/>
      <c r="L28" s="215"/>
      <c r="M28" s="215"/>
      <c r="N28" s="215"/>
      <c r="O28" s="215"/>
      <c r="P28" s="215"/>
    </row>
    <row r="29" spans="1:16" x14ac:dyDescent="0.45">
      <c r="A29" s="215"/>
      <c r="B29" s="215"/>
      <c r="C29" s="215"/>
      <c r="D29" s="215"/>
      <c r="E29" s="215"/>
      <c r="F29" s="215"/>
      <c r="G29" s="215"/>
      <c r="H29" s="215"/>
      <c r="I29" s="215"/>
      <c r="J29" s="215"/>
      <c r="K29" s="215"/>
      <c r="L29" s="215"/>
      <c r="M29" s="215"/>
      <c r="N29" s="215"/>
      <c r="O29" s="215"/>
      <c r="P29" s="215"/>
    </row>
    <row r="30" spans="1:16" x14ac:dyDescent="0.45">
      <c r="A30" s="215"/>
      <c r="B30" s="215"/>
      <c r="C30" s="215"/>
      <c r="D30" s="215"/>
      <c r="E30" s="215"/>
      <c r="F30" s="215"/>
      <c r="G30" s="215"/>
      <c r="H30" s="215"/>
      <c r="I30" s="215"/>
      <c r="J30" s="215"/>
      <c r="K30" s="215"/>
      <c r="L30" s="215"/>
      <c r="M30" s="215"/>
      <c r="N30" s="215"/>
      <c r="O30" s="215"/>
      <c r="P30" s="215"/>
    </row>
    <row r="31" spans="1:16" x14ac:dyDescent="0.45">
      <c r="A31" s="215"/>
      <c r="B31" s="215"/>
      <c r="C31" s="215"/>
      <c r="D31" s="215"/>
      <c r="E31" s="215"/>
      <c r="F31" s="215"/>
      <c r="G31" s="215"/>
      <c r="H31" s="215"/>
      <c r="I31" s="215"/>
      <c r="J31" s="215"/>
      <c r="K31" s="215"/>
      <c r="L31" s="215"/>
      <c r="M31" s="215"/>
      <c r="N31" s="215"/>
      <c r="O31" s="215"/>
      <c r="P31" s="215"/>
    </row>
    <row r="32" spans="1:16" x14ac:dyDescent="0.45">
      <c r="A32" s="215"/>
      <c r="B32" s="215"/>
      <c r="C32" s="215"/>
      <c r="D32" s="215"/>
      <c r="E32" s="215"/>
      <c r="F32" s="215"/>
      <c r="G32" s="215"/>
      <c r="H32" s="215"/>
      <c r="I32" s="215"/>
      <c r="J32" s="215"/>
      <c r="K32" s="215"/>
      <c r="L32" s="215"/>
      <c r="M32" s="215"/>
      <c r="N32" s="215"/>
      <c r="O32" s="215"/>
      <c r="P32" s="215"/>
    </row>
    <row r="33" spans="1:16" x14ac:dyDescent="0.45">
      <c r="A33" s="215"/>
      <c r="B33" s="215"/>
      <c r="C33" s="215"/>
      <c r="D33" s="215"/>
      <c r="E33" s="215"/>
      <c r="F33" s="215"/>
      <c r="G33" s="215"/>
      <c r="H33" s="215"/>
      <c r="I33" s="215"/>
      <c r="J33" s="215"/>
      <c r="K33" s="215"/>
      <c r="L33" s="215"/>
      <c r="M33" s="215"/>
      <c r="N33" s="215"/>
      <c r="O33" s="215"/>
      <c r="P33" s="215"/>
    </row>
    <row r="34" spans="1:16" x14ac:dyDescent="0.45">
      <c r="A34" s="215"/>
      <c r="B34" s="215"/>
      <c r="C34" s="215"/>
      <c r="D34" s="215"/>
      <c r="E34" s="215"/>
      <c r="F34" s="215"/>
      <c r="G34" s="215"/>
      <c r="H34" s="215"/>
      <c r="I34" s="215"/>
      <c r="J34" s="215"/>
      <c r="K34" s="215"/>
      <c r="L34" s="215"/>
      <c r="M34" s="215"/>
      <c r="N34" s="215"/>
      <c r="O34" s="215"/>
      <c r="P34" s="215"/>
    </row>
    <row r="35" spans="1:16" x14ac:dyDescent="0.45">
      <c r="A35" s="215"/>
      <c r="B35" s="215"/>
      <c r="C35" s="215"/>
      <c r="D35" s="215"/>
      <c r="E35" s="215"/>
      <c r="F35" s="215"/>
      <c r="G35" s="215"/>
      <c r="H35" s="215"/>
      <c r="I35" s="215"/>
      <c r="J35" s="215"/>
      <c r="K35" s="215"/>
      <c r="L35" s="215"/>
      <c r="M35" s="215"/>
      <c r="N35" s="215"/>
      <c r="O35" s="215"/>
      <c r="P35" s="215"/>
    </row>
    <row r="36" spans="1:16" x14ac:dyDescent="0.45">
      <c r="A36" s="215"/>
      <c r="B36" s="215"/>
      <c r="C36" s="215"/>
      <c r="D36" s="215"/>
      <c r="E36" s="215"/>
      <c r="F36" s="215"/>
      <c r="G36" s="215"/>
      <c r="H36" s="215"/>
      <c r="I36" s="215"/>
      <c r="J36" s="215"/>
      <c r="K36" s="215"/>
      <c r="L36" s="215"/>
      <c r="M36" s="215"/>
      <c r="N36" s="215"/>
      <c r="O36" s="215"/>
      <c r="P36" s="215"/>
    </row>
    <row r="37" spans="1:16" x14ac:dyDescent="0.45">
      <c r="A37" s="215"/>
      <c r="B37" s="215"/>
      <c r="C37" s="215"/>
      <c r="D37" s="215"/>
      <c r="E37" s="215"/>
      <c r="F37" s="215"/>
      <c r="G37" s="215"/>
      <c r="H37" s="215"/>
      <c r="I37" s="215"/>
      <c r="J37" s="215"/>
      <c r="K37" s="215"/>
      <c r="L37" s="215"/>
      <c r="M37" s="215"/>
      <c r="N37" s="215"/>
      <c r="O37" s="215"/>
      <c r="P37" s="215"/>
    </row>
    <row r="38" spans="1:16" x14ac:dyDescent="0.45">
      <c r="A38" s="215"/>
      <c r="B38" s="215"/>
      <c r="C38" s="215"/>
      <c r="D38" s="215"/>
      <c r="E38" s="215"/>
      <c r="F38" s="215"/>
      <c r="G38" s="215"/>
      <c r="H38" s="215"/>
      <c r="I38" s="215"/>
      <c r="J38" s="215"/>
      <c r="K38" s="215"/>
      <c r="L38" s="215"/>
      <c r="M38" s="215"/>
      <c r="N38" s="215"/>
      <c r="O38" s="215"/>
      <c r="P38" s="215"/>
    </row>
  </sheetData>
  <mergeCells count="1">
    <mergeCell ref="E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8666C-F90F-47FD-8F97-89899339BC8B}">
  <dimension ref="A2:E25"/>
  <sheetViews>
    <sheetView workbookViewId="0"/>
  </sheetViews>
  <sheetFormatPr defaultRowHeight="14.25" x14ac:dyDescent="0.45"/>
  <cols>
    <col min="1" max="1" width="5.53125" customWidth="1"/>
    <col min="2" max="2" width="10.33203125" bestFit="1" customWidth="1"/>
    <col min="3" max="3" width="11" customWidth="1"/>
    <col min="5" max="5" width="80.19921875" customWidth="1"/>
  </cols>
  <sheetData>
    <row r="2" spans="1:5" x14ac:dyDescent="0.45">
      <c r="A2" s="245" t="s">
        <v>582</v>
      </c>
      <c r="B2" s="245" t="s">
        <v>583</v>
      </c>
      <c r="C2" s="245" t="s">
        <v>581</v>
      </c>
      <c r="D2" s="245" t="s">
        <v>584</v>
      </c>
      <c r="E2" s="245" t="s">
        <v>585</v>
      </c>
    </row>
    <row r="3" spans="1:5" x14ac:dyDescent="0.45">
      <c r="A3" s="215">
        <v>1</v>
      </c>
      <c r="B3" s="215" t="s">
        <v>586</v>
      </c>
      <c r="C3" s="242">
        <v>12884.431209148863</v>
      </c>
      <c r="D3" s="215"/>
      <c r="E3" s="215"/>
    </row>
    <row r="4" spans="1:5" x14ac:dyDescent="0.45">
      <c r="A4" s="215">
        <f>A3+1</f>
        <v>2</v>
      </c>
      <c r="B4" s="215" t="s">
        <v>587</v>
      </c>
      <c r="C4" s="242">
        <v>12828.611266157182</v>
      </c>
      <c r="D4" s="244">
        <f>(C3-C4)/C3</f>
        <v>4.3323560105660106E-3</v>
      </c>
      <c r="E4" s="215" t="s">
        <v>588</v>
      </c>
    </row>
    <row r="5" spans="1:5" x14ac:dyDescent="0.45">
      <c r="A5" s="215"/>
      <c r="B5" s="215"/>
      <c r="C5" s="215"/>
      <c r="D5" s="215"/>
      <c r="E5" s="215"/>
    </row>
    <row r="6" spans="1:5" x14ac:dyDescent="0.45">
      <c r="A6" s="215"/>
      <c r="B6" s="215"/>
      <c r="C6" s="215"/>
      <c r="D6" s="215"/>
      <c r="E6" s="215"/>
    </row>
    <row r="7" spans="1:5" x14ac:dyDescent="0.45">
      <c r="A7" s="215"/>
      <c r="B7" s="215"/>
      <c r="C7" s="215"/>
      <c r="D7" s="215"/>
      <c r="E7" s="215"/>
    </row>
    <row r="8" spans="1:5" x14ac:dyDescent="0.45">
      <c r="A8" s="215"/>
      <c r="B8" s="215"/>
      <c r="C8" s="215"/>
      <c r="D8" s="215"/>
      <c r="E8" s="215"/>
    </row>
    <row r="9" spans="1:5" x14ac:dyDescent="0.45">
      <c r="A9" s="215"/>
      <c r="B9" s="215"/>
      <c r="C9" s="215"/>
      <c r="D9" s="215"/>
      <c r="E9" s="215"/>
    </row>
    <row r="10" spans="1:5" x14ac:dyDescent="0.45">
      <c r="A10" s="215"/>
      <c r="B10" s="215"/>
      <c r="C10" s="215"/>
      <c r="D10" s="215"/>
      <c r="E10" s="215"/>
    </row>
    <row r="11" spans="1:5" x14ac:dyDescent="0.45">
      <c r="A11" s="215"/>
      <c r="B11" s="215"/>
      <c r="C11" s="215"/>
      <c r="D11" s="215"/>
      <c r="E11" s="215"/>
    </row>
    <row r="12" spans="1:5" x14ac:dyDescent="0.45">
      <c r="A12" s="215"/>
      <c r="B12" s="215"/>
      <c r="C12" s="215"/>
      <c r="D12" s="215"/>
      <c r="E12" s="215"/>
    </row>
    <row r="13" spans="1:5" x14ac:dyDescent="0.45">
      <c r="A13" s="215"/>
      <c r="B13" s="215"/>
      <c r="C13" s="215"/>
      <c r="D13" s="215"/>
      <c r="E13" s="215"/>
    </row>
    <row r="14" spans="1:5" x14ac:dyDescent="0.45">
      <c r="A14" s="215"/>
      <c r="B14" s="215"/>
      <c r="C14" s="215"/>
      <c r="D14" s="215"/>
      <c r="E14" s="215"/>
    </row>
    <row r="15" spans="1:5" x14ac:dyDescent="0.45">
      <c r="A15" s="215"/>
      <c r="B15" s="215"/>
      <c r="C15" s="215"/>
      <c r="D15" s="215"/>
      <c r="E15" s="215"/>
    </row>
    <row r="16" spans="1:5" x14ac:dyDescent="0.45">
      <c r="A16" s="215"/>
      <c r="B16" s="215"/>
      <c r="C16" s="215"/>
      <c r="D16" s="215"/>
      <c r="E16" s="215"/>
    </row>
    <row r="17" spans="1:5" x14ac:dyDescent="0.45">
      <c r="A17" s="215"/>
      <c r="B17" s="215"/>
      <c r="C17" s="215"/>
      <c r="D17" s="215"/>
      <c r="E17" s="215"/>
    </row>
    <row r="18" spans="1:5" x14ac:dyDescent="0.45">
      <c r="A18" s="215"/>
      <c r="B18" s="215"/>
      <c r="C18" s="215"/>
      <c r="D18" s="215"/>
      <c r="E18" s="215"/>
    </row>
    <row r="19" spans="1:5" x14ac:dyDescent="0.45">
      <c r="A19" s="215"/>
      <c r="B19" s="215"/>
      <c r="C19" s="215"/>
      <c r="D19" s="215"/>
      <c r="E19" s="215"/>
    </row>
    <row r="20" spans="1:5" x14ac:dyDescent="0.45">
      <c r="A20" s="215"/>
      <c r="B20" s="215"/>
      <c r="C20" s="215"/>
      <c r="D20" s="215"/>
      <c r="E20" s="215"/>
    </row>
    <row r="21" spans="1:5" x14ac:dyDescent="0.45">
      <c r="A21" s="215"/>
      <c r="B21" s="215"/>
      <c r="C21" s="215"/>
      <c r="D21" s="215"/>
      <c r="E21" s="215"/>
    </row>
    <row r="22" spans="1:5" x14ac:dyDescent="0.45">
      <c r="A22" s="215"/>
      <c r="B22" s="215"/>
      <c r="C22" s="215"/>
      <c r="D22" s="215"/>
      <c r="E22" s="215"/>
    </row>
    <row r="23" spans="1:5" x14ac:dyDescent="0.45">
      <c r="A23" s="215"/>
      <c r="B23" s="215"/>
      <c r="C23" s="215"/>
      <c r="D23" s="215"/>
      <c r="E23" s="215"/>
    </row>
    <row r="24" spans="1:5" x14ac:dyDescent="0.45">
      <c r="A24" s="215"/>
      <c r="B24" s="215"/>
      <c r="C24" s="215"/>
      <c r="D24" s="215"/>
      <c r="E24" s="215"/>
    </row>
    <row r="25" spans="1:5" x14ac:dyDescent="0.45">
      <c r="A25" s="215"/>
      <c r="B25" s="215"/>
      <c r="C25" s="215"/>
      <c r="D25" s="215"/>
      <c r="E25" s="2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10</vt:i4>
      </vt:variant>
    </vt:vector>
  </HeadingPairs>
  <TitlesOfParts>
    <vt:vector size="17" baseType="lpstr">
      <vt:lpstr>summary</vt:lpstr>
      <vt:lpstr>input</vt:lpstr>
      <vt:lpstr>material</vt:lpstr>
      <vt:lpstr>conversion</vt:lpstr>
      <vt:lpstr>backup</vt:lpstr>
      <vt:lpstr>Database</vt:lpstr>
      <vt:lpstr>logs</vt:lpstr>
      <vt:lpstr>Ancillary</vt:lpstr>
      <vt:lpstr>Area_EBM</vt:lpstr>
      <vt:lpstr>Database</vt:lpstr>
      <vt:lpstr>Dep_Sch_Others</vt:lpstr>
      <vt:lpstr>Depreciation_Schedule</vt:lpstr>
      <vt:lpstr>Interest_Sch_Others</vt:lpstr>
      <vt:lpstr>Interest_Schedule</vt:lpstr>
      <vt:lpstr>Machine_details</vt:lpstr>
      <vt:lpstr>Machines</vt:lpstr>
      <vt:lpstr>SKU_Data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Naman Mishra</dc:creator>
  <cp:lastModifiedBy>Naman Mishra</cp:lastModifiedBy>
  <dcterms:created xsi:type="dcterms:W3CDTF">2025-11-03T06:10:26Z</dcterms:created>
  <dcterms:modified xsi:type="dcterms:W3CDTF">2025-12-18T13:15:24Z</dcterms:modified>
</cp:coreProperties>
</file>