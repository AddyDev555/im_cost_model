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ink/ink1.xml" ContentType="application/inkml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packforallp-my.sharepoint.com/personal/minoti_banerjee_packfora_com/Documents/Unilever Cost Model/2. Models/Cartons/"/>
    </mc:Choice>
  </mc:AlternateContent>
  <xr:revisionPtr revIDLastSave="354" documentId="8_{B7F8FBE9-A58A-4DA3-ADDD-9E9B5205D6BA}" xr6:coauthVersionLast="47" xr6:coauthVersionMax="47" xr10:uidLastSave="{1876A8A6-8AC4-4F7D-95E2-F37BA3148354}"/>
  <bookViews>
    <workbookView xWindow="-108" yWindow="-108" windowWidth="23256" windowHeight="12576" activeTab="1" xr2:uid="{1EA18EED-DE15-49C2-ADA8-4D2005121AD2}"/>
  </bookViews>
  <sheets>
    <sheet name="Summary" sheetId="9" r:id="rId1"/>
    <sheet name="Input" sheetId="13" r:id="rId2"/>
    <sheet name="Material" sheetId="4" r:id="rId3"/>
    <sheet name="Conversion" sheetId="5" r:id="rId4"/>
    <sheet name="Database" sheetId="14" r:id="rId5"/>
    <sheet name="Backup" sheetId="12" r:id="rId6"/>
  </sheets>
  <definedNames>
    <definedName name="_xlnm._FilterDatabase" localSheetId="3" hidden="1">Conversion!$B$547:$B$603</definedName>
    <definedName name="_xlnm._FilterDatabase" localSheetId="1" hidden="1">Input!$B$21:$B$93</definedName>
    <definedName name="_xlnm._FilterDatabase" localSheetId="2" hidden="1">Material!$C$3:$C$29</definedName>
    <definedName name="_xlnm.Database">Database!$A$10:$U$45</definedName>
    <definedName name="Dep_Sch_Others">Conversion!$A$505:$D$543</definedName>
    <definedName name="Depreciation_Sch">Conversion!$A$396:$D$543</definedName>
    <definedName name="Int_Sch_other">Conversion!$A$545:$D$603</definedName>
    <definedName name="Interest_Sch">Conversion!$A$445:$D$502</definedName>
    <definedName name="Machine">Backup!$C$19:$I$60</definedName>
    <definedName name="Print_Changeover">Backup!$D$96:$F$108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13" l="1"/>
  <c r="C104" i="13" l="1"/>
  <c r="D42" i="5"/>
  <c r="D39" i="13"/>
  <c r="G13" i="14" l="1"/>
  <c r="F13" i="14"/>
  <c r="E13" i="14"/>
  <c r="B85" i="4" l="1"/>
  <c r="B148" i="5" s="1"/>
  <c r="C55" i="13" l="1"/>
  <c r="C60" i="13"/>
  <c r="C57" i="13"/>
  <c r="C58" i="13"/>
  <c r="D39" i="4" l="1"/>
  <c r="D57" i="4"/>
  <c r="D85" i="4"/>
  <c r="D71" i="4"/>
  <c r="D50" i="13"/>
  <c r="D52" i="13"/>
  <c r="D51" i="13"/>
  <c r="D54" i="13"/>
  <c r="D59" i="13"/>
  <c r="D58" i="13"/>
  <c r="D57" i="13"/>
  <c r="D87" i="4"/>
  <c r="D86" i="4"/>
  <c r="D48" i="4" l="1"/>
  <c r="D88" i="4"/>
  <c r="C69" i="13"/>
  <c r="D149" i="5"/>
  <c r="D148" i="5"/>
  <c r="B220" i="5" l="1"/>
  <c r="D220" i="5" s="1"/>
  <c r="D152" i="5"/>
  <c r="D153" i="5" s="1"/>
  <c r="D156" i="5"/>
  <c r="D89" i="4" l="1"/>
  <c r="C72" i="13" l="1"/>
  <c r="C5" i="13"/>
  <c r="Q13" i="14"/>
  <c r="C403" i="5" l="1"/>
  <c r="C83" i="4"/>
  <c r="C102" i="4"/>
  <c r="C59" i="4"/>
  <c r="C91" i="4"/>
  <c r="U18" i="14"/>
  <c r="T18" i="14"/>
  <c r="S18" i="14"/>
  <c r="R18" i="14"/>
  <c r="Q18" i="14"/>
  <c r="R15" i="14"/>
  <c r="S15" i="14"/>
  <c r="T15" i="14"/>
  <c r="U15" i="14"/>
  <c r="Q15" i="14"/>
  <c r="U26" i="14"/>
  <c r="T26" i="14"/>
  <c r="S26" i="14"/>
  <c r="R26" i="14"/>
  <c r="Q26" i="14"/>
  <c r="U21" i="14"/>
  <c r="T21" i="14"/>
  <c r="S21" i="14"/>
  <c r="R21" i="14"/>
  <c r="Q21" i="14"/>
  <c r="Q17" i="14"/>
  <c r="C15" i="13" s="1"/>
  <c r="U17" i="14"/>
  <c r="C19" i="13" s="1"/>
  <c r="T17" i="14"/>
  <c r="C18" i="13" s="1"/>
  <c r="S17" i="14"/>
  <c r="C17" i="13" s="1"/>
  <c r="R17" i="14"/>
  <c r="C16" i="13" s="1"/>
  <c r="R13" i="14"/>
  <c r="S13" i="14"/>
  <c r="T13" i="14"/>
  <c r="U13" i="14"/>
  <c r="D59" i="4" l="1"/>
  <c r="D90" i="4"/>
  <c r="D287" i="5"/>
  <c r="C32" i="13"/>
  <c r="D183" i="5"/>
  <c r="D163" i="5"/>
  <c r="D135" i="5"/>
  <c r="D114" i="5"/>
  <c r="D99" i="5"/>
  <c r="D11" i="5"/>
  <c r="E37" i="12"/>
  <c r="D91" i="4" l="1"/>
  <c r="B17" i="9" s="1"/>
  <c r="B218" i="5"/>
  <c r="B219" i="5"/>
  <c r="B221" i="5"/>
  <c r="B217" i="5"/>
  <c r="B222" i="5"/>
  <c r="H28" i="12"/>
  <c r="J28" i="12" s="1"/>
  <c r="B216" i="5"/>
  <c r="H21" i="12"/>
  <c r="J21" i="12" s="1"/>
  <c r="H22" i="12"/>
  <c r="J22" i="12" s="1"/>
  <c r="H23" i="12"/>
  <c r="J23" i="12" s="1"/>
  <c r="H24" i="12"/>
  <c r="J24" i="12" s="1"/>
  <c r="H25" i="12"/>
  <c r="J25" i="12" s="1"/>
  <c r="H26" i="12"/>
  <c r="J26" i="12" s="1"/>
  <c r="H27" i="12"/>
  <c r="J27" i="12" s="1"/>
  <c r="D259" i="5" l="1"/>
  <c r="D256" i="5"/>
  <c r="D64" i="4" l="1"/>
  <c r="D60" i="4"/>
  <c r="C92" i="13" l="1"/>
  <c r="C87" i="13"/>
  <c r="J13" i="14"/>
  <c r="K13" i="14"/>
  <c r="L13" i="14"/>
  <c r="E17" i="14"/>
  <c r="F17" i="14"/>
  <c r="G17" i="14"/>
  <c r="E21" i="14"/>
  <c r="F21" i="14"/>
  <c r="G21" i="14"/>
  <c r="E26" i="14"/>
  <c r="F26" i="14"/>
  <c r="G26" i="14"/>
  <c r="J26" i="14"/>
  <c r="K26" i="14"/>
  <c r="L26" i="14"/>
  <c r="C97" i="13" l="1"/>
  <c r="C96" i="13"/>
  <c r="C91" i="13"/>
  <c r="C90" i="13"/>
  <c r="C85" i="13"/>
  <c r="C77" i="13"/>
  <c r="C76" i="13"/>
  <c r="C75" i="13"/>
  <c r="I305" i="5" s="1"/>
  <c r="W10" i="14"/>
  <c r="C210" i="5" l="1"/>
  <c r="C208" i="5"/>
  <c r="C406" i="5"/>
  <c r="C260" i="5"/>
  <c r="C257" i="5"/>
  <c r="B113" i="13"/>
  <c r="C80" i="4"/>
  <c r="B112" i="13"/>
  <c r="D59" i="5"/>
  <c r="C355" i="5"/>
  <c r="C354" i="5"/>
  <c r="C353" i="5"/>
  <c r="C52" i="13" l="1"/>
  <c r="C51" i="13"/>
  <c r="D20" i="12"/>
  <c r="E63" i="12"/>
  <c r="F151" i="12" l="1"/>
  <c r="D177" i="5"/>
  <c r="C45" i="4" l="1"/>
  <c r="D43" i="4"/>
  <c r="C41" i="4"/>
  <c r="D40" i="4"/>
  <c r="D134" i="5"/>
  <c r="D113" i="5"/>
  <c r="D118" i="5"/>
  <c r="D98" i="5"/>
  <c r="D219" i="5" l="1"/>
  <c r="D218" i="5"/>
  <c r="H37" i="12"/>
  <c r="J37" i="12" s="1"/>
  <c r="H36" i="12"/>
  <c r="J36" i="12" s="1"/>
  <c r="H35" i="12"/>
  <c r="J35" i="12" s="1"/>
  <c r="H34" i="12"/>
  <c r="J34" i="12" s="1"/>
  <c r="H33" i="12"/>
  <c r="J33" i="12" s="1"/>
  <c r="H32" i="12"/>
  <c r="J32" i="12" s="1"/>
  <c r="D138" i="5"/>
  <c r="H51" i="12"/>
  <c r="J51" i="12" s="1"/>
  <c r="H50" i="12"/>
  <c r="J50" i="12" s="1"/>
  <c r="H49" i="12"/>
  <c r="J49" i="12" s="1"/>
  <c r="H48" i="12"/>
  <c r="J48" i="12" s="1"/>
  <c r="H47" i="12"/>
  <c r="J47" i="12" s="1"/>
  <c r="H46" i="12"/>
  <c r="J46" i="12" s="1"/>
  <c r="H45" i="12"/>
  <c r="J45" i="12" s="1"/>
  <c r="H44" i="12"/>
  <c r="J44" i="12" s="1"/>
  <c r="H43" i="12"/>
  <c r="J43" i="12" s="1"/>
  <c r="D166" i="5"/>
  <c r="H54" i="12"/>
  <c r="J54" i="12" s="1"/>
  <c r="D217" i="5"/>
  <c r="D186" i="5"/>
  <c r="D187" i="5" s="1"/>
  <c r="D190" i="5"/>
  <c r="D107" i="5"/>
  <c r="D103" i="5"/>
  <c r="A19" i="9" l="1"/>
  <c r="A15" i="9"/>
  <c r="A13" i="9"/>
  <c r="D352" i="5"/>
  <c r="D355" i="5" s="1"/>
  <c r="D25" i="5"/>
  <c r="D24" i="5"/>
  <c r="D23" i="5"/>
  <c r="D22" i="5"/>
  <c r="D21" i="5"/>
  <c r="D20" i="5"/>
  <c r="D19" i="5"/>
  <c r="N45" i="9"/>
  <c r="C49" i="4"/>
  <c r="C34" i="4"/>
  <c r="C30" i="4"/>
  <c r="C27" i="4"/>
  <c r="C23" i="4"/>
  <c r="C22" i="4"/>
  <c r="C13" i="13"/>
  <c r="C39" i="9"/>
  <c r="D29" i="5" l="1"/>
  <c r="D28" i="5"/>
  <c r="D30" i="5" l="1"/>
  <c r="D7" i="4"/>
  <c r="D8" i="4"/>
  <c r="C372" i="5"/>
  <c r="C367" i="5"/>
  <c r="C366" i="5"/>
  <c r="A561" i="5"/>
  <c r="A566" i="5" s="1"/>
  <c r="A571" i="5" s="1"/>
  <c r="A576" i="5" s="1"/>
  <c r="A581" i="5" s="1"/>
  <c r="A586" i="5" s="1"/>
  <c r="A591" i="5" s="1"/>
  <c r="A596" i="5" s="1"/>
  <c r="A601" i="5" s="1"/>
  <c r="A516" i="5"/>
  <c r="A518" i="5" s="1"/>
  <c r="A520" i="5" s="1"/>
  <c r="A522" i="5" s="1"/>
  <c r="A524" i="5" s="1"/>
  <c r="A526" i="5" s="1"/>
  <c r="A528" i="5" s="1"/>
  <c r="A530" i="5" s="1"/>
  <c r="A532" i="5" s="1"/>
  <c r="A534" i="5" s="1"/>
  <c r="A536" i="5" s="1"/>
  <c r="A538" i="5" s="1"/>
  <c r="A540" i="5" s="1"/>
  <c r="A542" i="5" s="1"/>
  <c r="D273" i="5" l="1"/>
  <c r="D142" i="5" l="1"/>
  <c r="D122" i="5"/>
  <c r="B4" i="9"/>
  <c r="B39" i="9" s="1"/>
  <c r="A3" i="9"/>
  <c r="C3" i="9"/>
  <c r="B3" i="9"/>
  <c r="D2" i="9"/>
  <c r="B2" i="9"/>
  <c r="A2" i="9"/>
  <c r="C1" i="9"/>
  <c r="B1" i="9"/>
  <c r="A1" i="9"/>
  <c r="C346" i="5"/>
  <c r="C356" i="5" s="1"/>
  <c r="C363" i="5" s="1"/>
  <c r="C345" i="5"/>
  <c r="C344" i="5"/>
  <c r="C343" i="5"/>
  <c r="C342" i="5"/>
  <c r="C341" i="5"/>
  <c r="C340" i="5"/>
  <c r="C338" i="5"/>
  <c r="C337" i="5"/>
  <c r="C336" i="5"/>
  <c r="C335" i="5"/>
  <c r="C334" i="5"/>
  <c r="D449" i="5"/>
  <c r="D198" i="5"/>
  <c r="A460" i="5"/>
  <c r="A465" i="5" s="1"/>
  <c r="A470" i="5" s="1"/>
  <c r="A475" i="5" s="1"/>
  <c r="A480" i="5" s="1"/>
  <c r="A485" i="5" s="1"/>
  <c r="A490" i="5" s="1"/>
  <c r="A495" i="5" s="1"/>
  <c r="A500" i="5" s="1"/>
  <c r="A414" i="5"/>
  <c r="A416" i="5" s="1"/>
  <c r="D222" i="5"/>
  <c r="D221" i="5"/>
  <c r="D216" i="5"/>
  <c r="D550" i="5"/>
  <c r="D511" i="5"/>
  <c r="D331" i="5"/>
  <c r="H306" i="5"/>
  <c r="G306" i="5"/>
  <c r="I302" i="5"/>
  <c r="D289" i="5"/>
  <c r="D290" i="5" s="1"/>
  <c r="D288" i="5"/>
  <c r="C281" i="5"/>
  <c r="C280" i="5"/>
  <c r="C264" i="5"/>
  <c r="C262" i="5"/>
  <c r="C254" i="5"/>
  <c r="D249" i="5"/>
  <c r="C252" i="5"/>
  <c r="C251" i="5"/>
  <c r="C249" i="5"/>
  <c r="D207" i="5"/>
  <c r="C211" i="5"/>
  <c r="C209" i="5"/>
  <c r="D202" i="5"/>
  <c r="C204" i="5"/>
  <c r="C203" i="5"/>
  <c r="C200" i="5"/>
  <c r="C199" i="5"/>
  <c r="B371" i="5"/>
  <c r="B372" i="5" s="1"/>
  <c r="B369" i="5"/>
  <c r="B368" i="5"/>
  <c r="C5" i="5"/>
  <c r="C320" i="5" l="1"/>
  <c r="C321" i="5"/>
  <c r="C322" i="5"/>
  <c r="D223" i="5"/>
  <c r="D224" i="5" s="1"/>
  <c r="D226" i="5" s="1"/>
  <c r="D170" i="5"/>
  <c r="D371" i="5"/>
  <c r="A418" i="5"/>
  <c r="A420" i="5" s="1"/>
  <c r="A422" i="5" s="1"/>
  <c r="A424" i="5" s="1"/>
  <c r="A426" i="5" s="1"/>
  <c r="A428" i="5" s="1"/>
  <c r="A430" i="5" s="1"/>
  <c r="A432" i="5" s="1"/>
  <c r="A434" i="5" s="1"/>
  <c r="A436" i="5" s="1"/>
  <c r="A438" i="5" s="1"/>
  <c r="A440" i="5" s="1"/>
  <c r="D58" i="4" l="1"/>
  <c r="C306" i="5" l="1"/>
  <c r="D306" i="5"/>
  <c r="E306" i="5"/>
  <c r="F306" i="5"/>
  <c r="C3" i="12"/>
  <c r="B109" i="13"/>
  <c r="C362" i="5" s="1"/>
  <c r="B77" i="13"/>
  <c r="B76" i="13"/>
  <c r="B75" i="13"/>
  <c r="B72" i="13"/>
  <c r="C113" i="13"/>
  <c r="C109" i="13" s="1"/>
  <c r="C112" i="13"/>
  <c r="C104" i="4"/>
  <c r="C99" i="4"/>
  <c r="C98" i="4"/>
  <c r="C97" i="4"/>
  <c r="C95" i="4"/>
  <c r="C69" i="4"/>
  <c r="C66" i="4"/>
  <c r="C62" i="4"/>
  <c r="C55" i="4"/>
  <c r="C52" i="4"/>
  <c r="C37" i="4"/>
  <c r="D75" i="4"/>
  <c r="D74" i="4"/>
  <c r="D33" i="4"/>
  <c r="D20" i="4"/>
  <c r="D19" i="4"/>
  <c r="D61" i="5"/>
  <c r="D60" i="5"/>
  <c r="D57" i="5"/>
  <c r="D56" i="5"/>
  <c r="D55" i="5"/>
  <c r="D32" i="5"/>
  <c r="D12" i="5"/>
  <c r="D16" i="5" s="1"/>
  <c r="D8" i="5"/>
  <c r="D7" i="5"/>
  <c r="D5" i="4"/>
  <c r="D4" i="4"/>
  <c r="C440" i="5"/>
  <c r="C439" i="5"/>
  <c r="C438" i="5"/>
  <c r="C437" i="5"/>
  <c r="C436" i="5"/>
  <c r="C435" i="5"/>
  <c r="C434" i="5"/>
  <c r="C433" i="5"/>
  <c r="C432" i="5"/>
  <c r="C431" i="5"/>
  <c r="C430" i="5"/>
  <c r="C429" i="5"/>
  <c r="C428" i="5"/>
  <c r="C427" i="5"/>
  <c r="C426" i="5"/>
  <c r="C425" i="5"/>
  <c r="C424" i="5"/>
  <c r="C423" i="5"/>
  <c r="C422" i="5"/>
  <c r="C421" i="5"/>
  <c r="C420" i="5"/>
  <c r="C419" i="5"/>
  <c r="C418" i="5"/>
  <c r="C417" i="5"/>
  <c r="C416" i="5"/>
  <c r="C415" i="5"/>
  <c r="C414" i="5"/>
  <c r="C413" i="5"/>
  <c r="C412" i="5"/>
  <c r="C411" i="5"/>
  <c r="C603" i="5"/>
  <c r="C602" i="5"/>
  <c r="C601" i="5"/>
  <c r="C600" i="5"/>
  <c r="C598" i="5"/>
  <c r="C597" i="5"/>
  <c r="C596" i="5"/>
  <c r="C595" i="5"/>
  <c r="C593" i="5"/>
  <c r="C592" i="5"/>
  <c r="C591" i="5"/>
  <c r="C590" i="5"/>
  <c r="C588" i="5"/>
  <c r="C587" i="5"/>
  <c r="C586" i="5"/>
  <c r="C585" i="5"/>
  <c r="C583" i="5"/>
  <c r="C582" i="5"/>
  <c r="C581" i="5"/>
  <c r="C580" i="5"/>
  <c r="C578" i="5"/>
  <c r="C577" i="5"/>
  <c r="C576" i="5"/>
  <c r="C575" i="5"/>
  <c r="C573" i="5"/>
  <c r="C572" i="5"/>
  <c r="C571" i="5"/>
  <c r="C570" i="5"/>
  <c r="C568" i="5"/>
  <c r="C567" i="5"/>
  <c r="C566" i="5"/>
  <c r="C565" i="5"/>
  <c r="C563" i="5"/>
  <c r="C562" i="5"/>
  <c r="C561" i="5"/>
  <c r="C560" i="5"/>
  <c r="C558" i="5"/>
  <c r="C557" i="5"/>
  <c r="C556" i="5"/>
  <c r="C555" i="5"/>
  <c r="C553" i="5"/>
  <c r="C548" i="5"/>
  <c r="C542" i="5"/>
  <c r="C541" i="5"/>
  <c r="C540" i="5"/>
  <c r="C539" i="5"/>
  <c r="C538" i="5"/>
  <c r="C537" i="5"/>
  <c r="C536" i="5"/>
  <c r="C535" i="5"/>
  <c r="C534" i="5"/>
  <c r="C533" i="5"/>
  <c r="C532" i="5"/>
  <c r="C531" i="5"/>
  <c r="C530" i="5"/>
  <c r="C529" i="5"/>
  <c r="C528" i="5"/>
  <c r="C527" i="5"/>
  <c r="C526" i="5"/>
  <c r="C525" i="5"/>
  <c r="C524" i="5"/>
  <c r="C523" i="5"/>
  <c r="C522" i="5"/>
  <c r="C521" i="5"/>
  <c r="C520" i="5"/>
  <c r="C519" i="5"/>
  <c r="C518" i="5"/>
  <c r="C517" i="5"/>
  <c r="C516" i="5"/>
  <c r="C515" i="5"/>
  <c r="C514" i="5"/>
  <c r="C513" i="5"/>
  <c r="C512" i="5"/>
  <c r="C509" i="5"/>
  <c r="C502" i="5"/>
  <c r="C501" i="5"/>
  <c r="C500" i="5"/>
  <c r="C499" i="5"/>
  <c r="C497" i="5"/>
  <c r="C496" i="5"/>
  <c r="C495" i="5"/>
  <c r="C494" i="5"/>
  <c r="C492" i="5"/>
  <c r="C491" i="5"/>
  <c r="C490" i="5"/>
  <c r="C489" i="5"/>
  <c r="C487" i="5"/>
  <c r="C486" i="5"/>
  <c r="C485" i="5"/>
  <c r="C484" i="5"/>
  <c r="C482" i="5"/>
  <c r="C481" i="5"/>
  <c r="C480" i="5"/>
  <c r="C479" i="5"/>
  <c r="C477" i="5"/>
  <c r="C476" i="5"/>
  <c r="C475" i="5"/>
  <c r="C474" i="5"/>
  <c r="C472" i="5"/>
  <c r="C471" i="5"/>
  <c r="C470" i="5"/>
  <c r="C469" i="5"/>
  <c r="C467" i="5"/>
  <c r="C466" i="5"/>
  <c r="C465" i="5"/>
  <c r="C464" i="5"/>
  <c r="C462" i="5"/>
  <c r="C461" i="5"/>
  <c r="C460" i="5"/>
  <c r="C459" i="5"/>
  <c r="C457" i="5"/>
  <c r="C456" i="5"/>
  <c r="C455" i="5"/>
  <c r="C454" i="5"/>
  <c r="C452" i="5"/>
  <c r="C447" i="5"/>
  <c r="C410" i="5"/>
  <c r="C407" i="5"/>
  <c r="C405" i="5"/>
  <c r="C404" i="5"/>
  <c r="C402" i="5"/>
  <c r="C401" i="5"/>
  <c r="C400" i="5"/>
  <c r="C399" i="5"/>
  <c r="D409" i="5"/>
  <c r="C17" i="9" l="1"/>
  <c r="D63" i="4"/>
  <c r="D49" i="4"/>
  <c r="D79" i="4"/>
  <c r="D27" i="4"/>
  <c r="D22" i="4"/>
  <c r="D46" i="5"/>
  <c r="D63" i="12"/>
  <c r="E151" i="12"/>
  <c r="E157" i="12" s="1"/>
  <c r="F157" i="12" s="1"/>
  <c r="D62" i="5"/>
  <c r="D368" i="5"/>
  <c r="D369" i="5"/>
  <c r="D276" i="5"/>
  <c r="D291" i="5"/>
  <c r="D267" i="5"/>
  <c r="D360" i="5"/>
  <c r="D362" i="5"/>
  <c r="D359" i="5"/>
  <c r="D351" i="5"/>
  <c r="D58" i="5"/>
  <c r="D15" i="5"/>
  <c r="D45" i="5" s="1"/>
  <c r="D50" i="5" s="1"/>
  <c r="D12" i="4" s="1"/>
  <c r="C179" i="5"/>
  <c r="D167" i="5"/>
  <c r="D139" i="5"/>
  <c r="D119" i="5"/>
  <c r="D129" i="5"/>
  <c r="C131" i="5"/>
  <c r="D54" i="5"/>
  <c r="D108" i="12"/>
  <c r="D107" i="12"/>
  <c r="D106" i="12"/>
  <c r="D105" i="12"/>
  <c r="D104" i="12"/>
  <c r="D103" i="12"/>
  <c r="D102" i="12"/>
  <c r="D101" i="12"/>
  <c r="D100" i="12"/>
  <c r="D99" i="12"/>
  <c r="D98" i="12"/>
  <c r="D97" i="12"/>
  <c r="C95" i="5"/>
  <c r="C94" i="5"/>
  <c r="C9" i="13"/>
  <c r="I307" i="5"/>
  <c r="D292" i="5" l="1"/>
  <c r="D293" i="5" s="1"/>
  <c r="D51" i="5"/>
  <c r="D13" i="4" s="1"/>
  <c r="D41" i="4"/>
  <c r="D34" i="4"/>
  <c r="J321" i="5"/>
  <c r="J322" i="5"/>
  <c r="J320" i="5"/>
  <c r="E155" i="12"/>
  <c r="E156" i="12"/>
  <c r="D71" i="12"/>
  <c r="E71" i="12" s="1"/>
  <c r="D78" i="12"/>
  <c r="D66" i="12"/>
  <c r="E66" i="12" s="1"/>
  <c r="D73" i="12"/>
  <c r="E73" i="12" s="1"/>
  <c r="D64" i="12"/>
  <c r="E64" i="12" s="1"/>
  <c r="D67" i="12"/>
  <c r="E67" i="12" s="1"/>
  <c r="D74" i="12"/>
  <c r="E74" i="12" s="1"/>
  <c r="E154" i="12"/>
  <c r="F154" i="12" s="1"/>
  <c r="D179" i="5" s="1"/>
  <c r="D68" i="12"/>
  <c r="E68" i="12" s="1"/>
  <c r="D75" i="12"/>
  <c r="E75" i="12" s="1"/>
  <c r="E153" i="12"/>
  <c r="F153" i="12" s="1"/>
  <c r="D131" i="5" s="1"/>
  <c r="D69" i="12"/>
  <c r="E69" i="12" s="1"/>
  <c r="E152" i="12"/>
  <c r="F152" i="12" s="1"/>
  <c r="D94" i="5" s="1"/>
  <c r="D76" i="12"/>
  <c r="E76" i="12" s="1"/>
  <c r="D70" i="12"/>
  <c r="E70" i="12" s="1"/>
  <c r="D77" i="12"/>
  <c r="E77" i="12" s="1"/>
  <c r="D65" i="12"/>
  <c r="E65" i="12" s="1"/>
  <c r="D72" i="12"/>
  <c r="E72" i="12" s="1"/>
  <c r="D70" i="5"/>
  <c r="D78" i="5"/>
  <c r="D9" i="4"/>
  <c r="D370" i="5"/>
  <c r="D361" i="5"/>
  <c r="D363" i="5" s="1"/>
  <c r="B37" i="9" s="1"/>
  <c r="J319" i="5"/>
  <c r="J317" i="5"/>
  <c r="I304" i="5"/>
  <c r="J313" i="5"/>
  <c r="J312" i="5"/>
  <c r="J311" i="5"/>
  <c r="I306" i="5"/>
  <c r="J316" i="5"/>
  <c r="J318" i="5"/>
  <c r="J315" i="5"/>
  <c r="J314" i="5"/>
  <c r="J323" i="5"/>
  <c r="D68" i="5"/>
  <c r="D76" i="5" l="1"/>
  <c r="D164" i="5"/>
  <c r="D150" i="5"/>
  <c r="D116" i="5"/>
  <c r="D121" i="5" s="1"/>
  <c r="D90" i="5"/>
  <c r="D184" i="5"/>
  <c r="D136" i="5"/>
  <c r="D101" i="5"/>
  <c r="J324" i="5"/>
  <c r="C6" i="12"/>
  <c r="F155" i="12"/>
  <c r="D353" i="5" s="1"/>
  <c r="F156" i="12"/>
  <c r="D354" i="5" s="1"/>
  <c r="B9" i="9"/>
  <c r="C37" i="9"/>
  <c r="D88" i="12"/>
  <c r="D87" i="12"/>
  <c r="D86" i="12"/>
  <c r="D85" i="12"/>
  <c r="D84" i="12"/>
  <c r="D83" i="12"/>
  <c r="D155" i="5" l="1"/>
  <c r="D356" i="5"/>
  <c r="B36" i="9" s="1"/>
  <c r="C9" i="9"/>
  <c r="C78" i="12"/>
  <c r="D141" i="5" l="1"/>
  <c r="C79" i="12"/>
  <c r="E78" i="12"/>
  <c r="E79" i="12" s="1"/>
  <c r="C36" i="9"/>
  <c r="C35" i="9" s="1"/>
  <c r="B35" i="9"/>
  <c r="M45" i="9" s="1"/>
  <c r="M47" i="9" s="1"/>
  <c r="M48" i="9" s="1"/>
  <c r="B8" i="9"/>
  <c r="C8" i="9" s="1"/>
  <c r="D77" i="5"/>
  <c r="D397" i="5"/>
  <c r="D446" i="5" s="1"/>
  <c r="D396" i="5"/>
  <c r="D445" i="5" s="1"/>
  <c r="A622" i="5"/>
  <c r="A627" i="5" s="1"/>
  <c r="A632" i="5" s="1"/>
  <c r="A637" i="5" s="1"/>
  <c r="A642" i="5" s="1"/>
  <c r="A647" i="5" s="1"/>
  <c r="A652" i="5" s="1"/>
  <c r="A657" i="5" s="1"/>
  <c r="A662" i="5" s="1"/>
  <c r="D547" i="5"/>
  <c r="D374" i="5"/>
  <c r="D444" i="5" s="1"/>
  <c r="D169" i="5" l="1"/>
  <c r="D79" i="5"/>
  <c r="D82" i="5" s="1"/>
  <c r="B45" i="9"/>
  <c r="C45" i="9" s="1"/>
  <c r="D69" i="5"/>
  <c r="D71" i="5" s="1"/>
  <c r="D92" i="5"/>
  <c r="D93" i="5" s="1"/>
  <c r="D95" i="5" s="1"/>
  <c r="D63" i="5"/>
  <c r="D76" i="4"/>
  <c r="D77" i="4" s="1"/>
  <c r="D80" i="4" s="1"/>
  <c r="D189" i="5" l="1"/>
  <c r="D191" i="5"/>
  <c r="D192" i="5" s="1"/>
  <c r="D73" i="5"/>
  <c r="B16" i="9"/>
  <c r="E44" i="9" s="1"/>
  <c r="D14" i="4"/>
  <c r="D193" i="5" l="1"/>
  <c r="G56" i="12" s="1"/>
  <c r="D47" i="5"/>
  <c r="D272" i="5" s="1"/>
  <c r="D274" i="5" s="1"/>
  <c r="D194" i="5" l="1"/>
  <c r="H56" i="12" s="1"/>
  <c r="D405" i="5" s="1"/>
  <c r="D132" i="5"/>
  <c r="D64" i="5"/>
  <c r="D180" i="5"/>
  <c r="D16" i="4"/>
  <c r="D61" i="4" s="1"/>
  <c r="D62" i="4" s="1"/>
  <c r="D178" i="5"/>
  <c r="D130" i="5"/>
  <c r="D52" i="5"/>
  <c r="D168" i="5" l="1"/>
  <c r="D188" i="5"/>
  <c r="D154" i="5"/>
  <c r="D140" i="5"/>
  <c r="D81" i="5"/>
  <c r="D120" i="5"/>
  <c r="D275" i="5"/>
  <c r="D277" i="5" s="1"/>
  <c r="D295" i="5" s="1"/>
  <c r="D80" i="5"/>
  <c r="D72" i="5"/>
  <c r="D65" i="5"/>
  <c r="D86" i="5" s="1"/>
  <c r="D87" i="5" s="1"/>
  <c r="H20" i="12" s="1"/>
  <c r="D44" i="4"/>
  <c r="D45" i="4" s="1"/>
  <c r="D36" i="4"/>
  <c r="D37" i="4" s="1"/>
  <c r="D21" i="4"/>
  <c r="D98" i="4"/>
  <c r="D99" i="4"/>
  <c r="D29" i="4"/>
  <c r="D30" i="4" s="1"/>
  <c r="D65" i="4"/>
  <c r="D51" i="4"/>
  <c r="D52" i="4" s="1"/>
  <c r="D91" i="5"/>
  <c r="D94" i="4" l="1"/>
  <c r="D82" i="4"/>
  <c r="D157" i="5"/>
  <c r="D143" i="5"/>
  <c r="D66" i="4"/>
  <c r="B19" i="9" s="1"/>
  <c r="C19" i="9" s="1"/>
  <c r="D123" i="5"/>
  <c r="D108" i="5"/>
  <c r="D171" i="5"/>
  <c r="G20" i="12"/>
  <c r="J20" i="12" s="1"/>
  <c r="G28" i="12"/>
  <c r="G23" i="12"/>
  <c r="G22" i="12"/>
  <c r="G27" i="12"/>
  <c r="G25" i="12"/>
  <c r="G21" i="12"/>
  <c r="G26" i="12"/>
  <c r="G24" i="12"/>
  <c r="D84" i="5"/>
  <c r="D54" i="4" s="1"/>
  <c r="D23" i="4"/>
  <c r="D271" i="5"/>
  <c r="C5" i="12"/>
  <c r="J382" i="5" s="1"/>
  <c r="C301" i="5"/>
  <c r="D378" i="5" s="1"/>
  <c r="B18" i="9"/>
  <c r="E42" i="9"/>
  <c r="B15" i="9"/>
  <c r="B14" i="9"/>
  <c r="D68" i="4"/>
  <c r="D229" i="5"/>
  <c r="D235" i="5"/>
  <c r="D245" i="5" s="1"/>
  <c r="I380" i="5" s="1"/>
  <c r="D96" i="5"/>
  <c r="D239" i="5" l="1"/>
  <c r="D95" i="4"/>
  <c r="D69" i="4"/>
  <c r="D83" i="4"/>
  <c r="D55" i="4"/>
  <c r="B13" i="9"/>
  <c r="E40" i="9" s="1"/>
  <c r="D399" i="5"/>
  <c r="D376" i="5" s="1"/>
  <c r="D382" i="5"/>
  <c r="I376" i="5"/>
  <c r="D145" i="5"/>
  <c r="C18" i="9"/>
  <c r="C15" i="9"/>
  <c r="D173" i="5"/>
  <c r="G54" i="12" s="1"/>
  <c r="E43" i="9"/>
  <c r="C16" i="9"/>
  <c r="C14" i="9"/>
  <c r="D97" i="4"/>
  <c r="B20" i="9" s="1"/>
  <c r="J56" i="12"/>
  <c r="I382" i="5" s="1"/>
  <c r="H301" i="5"/>
  <c r="I378" i="5" s="1"/>
  <c r="D125" i="5"/>
  <c r="D380" i="5" l="1"/>
  <c r="C13" i="9"/>
  <c r="D102" i="4"/>
  <c r="D126" i="5"/>
  <c r="H39" i="12" s="1"/>
  <c r="D401" i="5" s="1"/>
  <c r="D174" i="5"/>
  <c r="H53" i="12" s="1"/>
  <c r="D404" i="5" s="1"/>
  <c r="H376" i="5" s="1"/>
  <c r="G53" i="12"/>
  <c r="G41" i="12"/>
  <c r="G48" i="12"/>
  <c r="G47" i="12"/>
  <c r="G46" i="12"/>
  <c r="G45" i="12"/>
  <c r="G44" i="12"/>
  <c r="G49" i="12"/>
  <c r="G43" i="12"/>
  <c r="G42" i="12"/>
  <c r="G51" i="12"/>
  <c r="G50" i="12"/>
  <c r="F301" i="5"/>
  <c r="G378" i="5" s="1"/>
  <c r="D146" i="5"/>
  <c r="D234" i="5"/>
  <c r="D244" i="5" s="1"/>
  <c r="H380" i="5" s="1"/>
  <c r="D232" i="5"/>
  <c r="D242" i="5" s="1"/>
  <c r="G380" i="5" s="1"/>
  <c r="D231" i="5"/>
  <c r="D241" i="5" s="1"/>
  <c r="G39" i="12"/>
  <c r="B21" i="9"/>
  <c r="C21" i="9" s="1"/>
  <c r="C20" i="9"/>
  <c r="G301" i="5"/>
  <c r="H378" i="5" s="1"/>
  <c r="E41" i="9"/>
  <c r="E47" i="9" s="1"/>
  <c r="D104" i="5"/>
  <c r="J39" i="12" l="1"/>
  <c r="H41" i="12"/>
  <c r="J41" i="12" s="1"/>
  <c r="G382" i="5" s="1"/>
  <c r="H42" i="12"/>
  <c r="D106" i="5"/>
  <c r="D110" i="5" s="1"/>
  <c r="D105" i="5"/>
  <c r="J53" i="12"/>
  <c r="H382" i="5" s="1"/>
  <c r="B12" i="9"/>
  <c r="B5" i="9" s="1"/>
  <c r="D366" i="5" s="1"/>
  <c r="C12" i="9"/>
  <c r="J42" i="12" l="1"/>
  <c r="D402" i="5"/>
  <c r="G376" i="5" s="1"/>
  <c r="D196" i="5"/>
  <c r="D104" i="4" s="1"/>
  <c r="D101" i="4" s="1"/>
  <c r="D159" i="5"/>
  <c r="G31" i="12"/>
  <c r="G37" i="12"/>
  <c r="G35" i="12"/>
  <c r="G33" i="12"/>
  <c r="D111" i="5"/>
  <c r="H31" i="12" s="1"/>
  <c r="D400" i="5" s="1"/>
  <c r="G34" i="12"/>
  <c r="G36" i="12"/>
  <c r="G32" i="12"/>
  <c r="E48" i="9"/>
  <c r="C5" i="9"/>
  <c r="D230" i="5"/>
  <c r="D301" i="5"/>
  <c r="E378" i="5" s="1"/>
  <c r="D240" i="5" l="1"/>
  <c r="D280" i="5"/>
  <c r="D208" i="5" s="1"/>
  <c r="G58" i="12"/>
  <c r="E301" i="5"/>
  <c r="F378" i="5" s="1"/>
  <c r="C378" i="5" s="1"/>
  <c r="D160" i="5"/>
  <c r="H58" i="12" s="1"/>
  <c r="C4" i="12" s="1"/>
  <c r="D233" i="5"/>
  <c r="E376" i="5"/>
  <c r="J31" i="12"/>
  <c r="E382" i="5" s="1"/>
  <c r="E380" i="5" l="1"/>
  <c r="D243" i="5"/>
  <c r="F380" i="5" s="1"/>
  <c r="D236" i="5"/>
  <c r="J305" i="5"/>
  <c r="J307" i="5"/>
  <c r="J304" i="5"/>
  <c r="J306" i="5"/>
  <c r="D403" i="5"/>
  <c r="F376" i="5" s="1"/>
  <c r="C376" i="5" s="1"/>
  <c r="E377" i="5" s="1"/>
  <c r="J58" i="12"/>
  <c r="F382" i="5" s="1"/>
  <c r="C382" i="5" s="1"/>
  <c r="C8" i="12"/>
  <c r="C7" i="12"/>
  <c r="D379" i="5"/>
  <c r="G379" i="5"/>
  <c r="I379" i="5"/>
  <c r="H379" i="5"/>
  <c r="F379" i="5"/>
  <c r="E379" i="5"/>
  <c r="C11" i="12"/>
  <c r="C13" i="12"/>
  <c r="C9" i="12"/>
  <c r="C10" i="12"/>
  <c r="C12" i="12"/>
  <c r="C380" i="5" l="1"/>
  <c r="E381" i="5" s="1"/>
  <c r="D246" i="5"/>
  <c r="D247" i="5" s="1"/>
  <c r="D250" i="5" s="1"/>
  <c r="D251" i="5" s="1"/>
  <c r="D252" i="5" s="1"/>
  <c r="C386" i="5" s="1"/>
  <c r="J308" i="5"/>
  <c r="D254" i="5" s="1"/>
  <c r="C384" i="5" s="1"/>
  <c r="E383" i="5"/>
  <c r="I383" i="5"/>
  <c r="D383" i="5"/>
  <c r="J383" i="5"/>
  <c r="H383" i="5"/>
  <c r="G383" i="5"/>
  <c r="F383" i="5"/>
  <c r="D377" i="5"/>
  <c r="I377" i="5"/>
  <c r="H377" i="5"/>
  <c r="F377" i="5"/>
  <c r="G377" i="5"/>
  <c r="C14" i="12"/>
  <c r="C16" i="12" s="1"/>
  <c r="H381" i="5" l="1"/>
  <c r="H386" i="5" s="1"/>
  <c r="D381" i="5"/>
  <c r="G381" i="5"/>
  <c r="F381" i="5"/>
  <c r="I381" i="5"/>
  <c r="E386" i="5"/>
  <c r="F386" i="5"/>
  <c r="F44" i="9" s="1"/>
  <c r="D386" i="5"/>
  <c r="F41" i="9" s="1"/>
  <c r="G386" i="5"/>
  <c r="F43" i="9" s="1"/>
  <c r="I386" i="5"/>
  <c r="B24" i="9"/>
  <c r="C24" i="9" s="1"/>
  <c r="D333" i="5"/>
  <c r="D335" i="5" s="1"/>
  <c r="D509" i="5" s="1"/>
  <c r="E384" i="5"/>
  <c r="F384" i="5"/>
  <c r="G384" i="5"/>
  <c r="H384" i="5"/>
  <c r="I384" i="5"/>
  <c r="D384" i="5"/>
  <c r="B25" i="9"/>
  <c r="F42" i="9" l="1"/>
  <c r="F47" i="9" s="1"/>
  <c r="F48" i="9" s="1"/>
  <c r="D337" i="5"/>
  <c r="D406" i="5" s="1"/>
  <c r="D407" i="5" s="1"/>
  <c r="D447" i="5" s="1"/>
  <c r="D454" i="5" s="1"/>
  <c r="D455" i="5" s="1"/>
  <c r="J325" i="5"/>
  <c r="D343" i="5" s="1"/>
  <c r="D332" i="5"/>
  <c r="D210" i="5" s="1"/>
  <c r="C25" i="9"/>
  <c r="D260" i="5" l="1"/>
  <c r="B28" i="9" s="1"/>
  <c r="D257" i="5"/>
  <c r="C389" i="5" s="1"/>
  <c r="D410" i="5"/>
  <c r="D411" i="5" s="1"/>
  <c r="D412" i="5" s="1"/>
  <c r="D413" i="5" s="1"/>
  <c r="D414" i="5" s="1"/>
  <c r="D415" i="5" s="1"/>
  <c r="D416" i="5" s="1"/>
  <c r="D417" i="5" s="1"/>
  <c r="D418" i="5" s="1"/>
  <c r="D419" i="5" s="1"/>
  <c r="D420" i="5" s="1"/>
  <c r="D199" i="5" s="1"/>
  <c r="D200" i="5" s="1"/>
  <c r="D452" i="5"/>
  <c r="D456" i="5" s="1"/>
  <c r="D336" i="5"/>
  <c r="D342" i="5" s="1"/>
  <c r="E342" i="5" s="1"/>
  <c r="B29" i="9" s="1"/>
  <c r="D334" i="5"/>
  <c r="E343" i="5"/>
  <c r="B27" i="9" l="1"/>
  <c r="C390" i="5"/>
  <c r="D421" i="5"/>
  <c r="D422" i="5" s="1"/>
  <c r="D423" i="5" s="1"/>
  <c r="D424" i="5" s="1"/>
  <c r="D425" i="5" s="1"/>
  <c r="D426" i="5" s="1"/>
  <c r="D427" i="5" s="1"/>
  <c r="D428" i="5" s="1"/>
  <c r="D429" i="5" s="1"/>
  <c r="D430" i="5" s="1"/>
  <c r="D431" i="5" s="1"/>
  <c r="D432" i="5" s="1"/>
  <c r="D433" i="5" s="1"/>
  <c r="D434" i="5" s="1"/>
  <c r="D435" i="5" s="1"/>
  <c r="D436" i="5" s="1"/>
  <c r="D437" i="5" s="1"/>
  <c r="D438" i="5" s="1"/>
  <c r="D439" i="5" s="1"/>
  <c r="D440" i="5" s="1"/>
  <c r="D457" i="5"/>
  <c r="C387" i="5"/>
  <c r="H387" i="5" s="1"/>
  <c r="C391" i="5"/>
  <c r="D344" i="5"/>
  <c r="D338" i="5"/>
  <c r="B26" i="9"/>
  <c r="C385" i="5"/>
  <c r="D459" i="5" l="1"/>
  <c r="D460" i="5" s="1"/>
  <c r="D461" i="5" s="1"/>
  <c r="D462" i="5" s="1"/>
  <c r="D464" i="5" s="1"/>
  <c r="D465" i="5" s="1"/>
  <c r="D466" i="5" s="1"/>
  <c r="D467" i="5" s="1"/>
  <c r="D469" i="5" s="1"/>
  <c r="D470" i="5" s="1"/>
  <c r="D471" i="5" s="1"/>
  <c r="D472" i="5" s="1"/>
  <c r="D474" i="5" s="1"/>
  <c r="D475" i="5" s="1"/>
  <c r="I387" i="5"/>
  <c r="D387" i="5"/>
  <c r="E387" i="5"/>
  <c r="G387" i="5"/>
  <c r="F387" i="5"/>
  <c r="E391" i="5"/>
  <c r="F391" i="5"/>
  <c r="G391" i="5"/>
  <c r="J43" i="9" s="1"/>
  <c r="H391" i="5"/>
  <c r="I391" i="5"/>
  <c r="J391" i="5"/>
  <c r="J40" i="9" s="1"/>
  <c r="D391" i="5"/>
  <c r="J41" i="9" s="1"/>
  <c r="I385" i="5"/>
  <c r="D385" i="5"/>
  <c r="G41" i="9" s="1"/>
  <c r="F385" i="5"/>
  <c r="H385" i="5"/>
  <c r="E385" i="5"/>
  <c r="G385" i="5"/>
  <c r="G43" i="9" s="1"/>
  <c r="D476" i="5" l="1"/>
  <c r="D477" i="5" s="1"/>
  <c r="D479" i="5" s="1"/>
  <c r="D480" i="5" s="1"/>
  <c r="D481" i="5" s="1"/>
  <c r="D482" i="5" s="1"/>
  <c r="D484" i="5" s="1"/>
  <c r="D485" i="5" s="1"/>
  <c r="D486" i="5" s="1"/>
  <c r="D487" i="5" s="1"/>
  <c r="D489" i="5" s="1"/>
  <c r="D490" i="5" s="1"/>
  <c r="D491" i="5" s="1"/>
  <c r="D492" i="5" s="1"/>
  <c r="D494" i="5" s="1"/>
  <c r="D495" i="5" s="1"/>
  <c r="D496" i="5" s="1"/>
  <c r="D497" i="5" s="1"/>
  <c r="D499" i="5" s="1"/>
  <c r="D500" i="5" s="1"/>
  <c r="D501" i="5" s="1"/>
  <c r="D502" i="5" s="1"/>
  <c r="D203" i="5"/>
  <c r="D204" i="5" s="1"/>
  <c r="C392" i="5" s="1"/>
  <c r="G392" i="5" s="1"/>
  <c r="J42" i="9"/>
  <c r="J44" i="9"/>
  <c r="D512" i="5"/>
  <c r="D513" i="5" s="1"/>
  <c r="D514" i="5" s="1"/>
  <c r="D515" i="5" s="1"/>
  <c r="D516" i="5" s="1"/>
  <c r="D517" i="5" s="1"/>
  <c r="D518" i="5" s="1"/>
  <c r="D519" i="5" s="1"/>
  <c r="D520" i="5" s="1"/>
  <c r="D521" i="5" s="1"/>
  <c r="D548" i="5"/>
  <c r="G44" i="9"/>
  <c r="G42" i="9"/>
  <c r="E392" i="5" l="1"/>
  <c r="D392" i="5"/>
  <c r="I392" i="5"/>
  <c r="H392" i="5"/>
  <c r="F392" i="5"/>
  <c r="C27" i="9"/>
  <c r="J47" i="9"/>
  <c r="J48" i="9" s="1"/>
  <c r="D555" i="5"/>
  <c r="D556" i="5" s="1"/>
  <c r="D553" i="5"/>
  <c r="H389" i="5"/>
  <c r="I389" i="5"/>
  <c r="D389" i="5"/>
  <c r="H41" i="9" s="1"/>
  <c r="E389" i="5"/>
  <c r="F389" i="5"/>
  <c r="G389" i="5"/>
  <c r="H43" i="9" s="1"/>
  <c r="G47" i="9"/>
  <c r="G48" i="9" s="1"/>
  <c r="D522" i="5"/>
  <c r="D523" i="5" s="1"/>
  <c r="D340" i="5" l="1"/>
  <c r="E340" i="5" s="1"/>
  <c r="D557" i="5"/>
  <c r="D558" i="5" s="1"/>
  <c r="D560" i="5" s="1"/>
  <c r="D561" i="5" s="1"/>
  <c r="D562" i="5" s="1"/>
  <c r="D563" i="5" s="1"/>
  <c r="D565" i="5" s="1"/>
  <c r="D566" i="5" s="1"/>
  <c r="D567" i="5" s="1"/>
  <c r="D568" i="5" s="1"/>
  <c r="D570" i="5" s="1"/>
  <c r="D571" i="5" s="1"/>
  <c r="D572" i="5" s="1"/>
  <c r="D573" i="5" s="1"/>
  <c r="D575" i="5" s="1"/>
  <c r="D576" i="5" s="1"/>
  <c r="H44" i="9"/>
  <c r="H42" i="9"/>
  <c r="D524" i="5"/>
  <c r="D525" i="5" s="1"/>
  <c r="H47" i="9" l="1"/>
  <c r="H48" i="9" s="1"/>
  <c r="D577" i="5"/>
  <c r="D578" i="5" s="1"/>
  <c r="D580" i="5" s="1"/>
  <c r="D581" i="5" s="1"/>
  <c r="D582" i="5" s="1"/>
  <c r="D583" i="5" s="1"/>
  <c r="D585" i="5" s="1"/>
  <c r="D341" i="5"/>
  <c r="D345" i="5" s="1"/>
  <c r="D346" i="5" s="1"/>
  <c r="C388" i="5"/>
  <c r="B30" i="9"/>
  <c r="D526" i="5"/>
  <c r="D527" i="5" s="1"/>
  <c r="E388" i="5" l="1"/>
  <c r="F388" i="5"/>
  <c r="G388" i="5"/>
  <c r="K43" i="9" s="1"/>
  <c r="D388" i="5"/>
  <c r="K41" i="9" s="1"/>
  <c r="H388" i="5"/>
  <c r="I388" i="5"/>
  <c r="J388" i="5"/>
  <c r="K40" i="9" s="1"/>
  <c r="E341" i="5"/>
  <c r="C393" i="5" s="1"/>
  <c r="D262" i="5"/>
  <c r="C29" i="9"/>
  <c r="D586" i="5"/>
  <c r="D587" i="5" s="1"/>
  <c r="D588" i="5" s="1"/>
  <c r="D590" i="5" s="1"/>
  <c r="C30" i="9"/>
  <c r="D528" i="5"/>
  <c r="D529" i="5" s="1"/>
  <c r="K44" i="9" l="1"/>
  <c r="D281" i="5"/>
  <c r="D209" i="5" s="1"/>
  <c r="D211" i="5" s="1"/>
  <c r="D367" i="5" s="1"/>
  <c r="G393" i="5"/>
  <c r="L43" i="9" s="1"/>
  <c r="F393" i="5"/>
  <c r="H393" i="5"/>
  <c r="E393" i="5"/>
  <c r="D393" i="5"/>
  <c r="L41" i="9" s="1"/>
  <c r="I393" i="5"/>
  <c r="K42" i="9"/>
  <c r="D530" i="5"/>
  <c r="D531" i="5" s="1"/>
  <c r="D591" i="5"/>
  <c r="D592" i="5" s="1"/>
  <c r="D593" i="5" s="1"/>
  <c r="D595" i="5" s="1"/>
  <c r="D264" i="5" l="1"/>
  <c r="C28" i="9"/>
  <c r="D372" i="5"/>
  <c r="L44" i="9"/>
  <c r="L42" i="9"/>
  <c r="C26" i="9"/>
  <c r="D596" i="5"/>
  <c r="D597" i="5" s="1"/>
  <c r="D598" i="5" s="1"/>
  <c r="D600" i="5" s="1"/>
  <c r="D532" i="5"/>
  <c r="D533" i="5" s="1"/>
  <c r="L40" i="9" l="1"/>
  <c r="N40" i="9" s="1"/>
  <c r="B40" i="9" s="1"/>
  <c r="C40" i="9" s="1"/>
  <c r="B31" i="9"/>
  <c r="I390" i="5"/>
  <c r="F390" i="5"/>
  <c r="H390" i="5"/>
  <c r="E390" i="5"/>
  <c r="K47" i="9" s="1"/>
  <c r="K48" i="9" s="1"/>
  <c r="D390" i="5"/>
  <c r="I41" i="9" s="1"/>
  <c r="G390" i="5"/>
  <c r="I43" i="9" s="1"/>
  <c r="N43" i="9" s="1"/>
  <c r="B43" i="9" s="1"/>
  <c r="C43" i="9" s="1"/>
  <c r="D534" i="5"/>
  <c r="D535" i="5" s="1"/>
  <c r="D601" i="5"/>
  <c r="D602" i="5" s="1"/>
  <c r="D603" i="5" s="1"/>
  <c r="I42" i="9" l="1"/>
  <c r="N42" i="9" s="1"/>
  <c r="C31" i="9"/>
  <c r="C23" i="9" s="1"/>
  <c r="B23" i="9"/>
  <c r="N41" i="9"/>
  <c r="B41" i="9" s="1"/>
  <c r="C41" i="9" s="1"/>
  <c r="L47" i="9"/>
  <c r="L48" i="9" s="1"/>
  <c r="I44" i="9"/>
  <c r="N44" i="9" s="1"/>
  <c r="B44" i="9" s="1"/>
  <c r="C44" i="9" s="1"/>
  <c r="D536" i="5"/>
  <c r="D537" i="5" s="1"/>
  <c r="B42" i="9" l="1"/>
  <c r="C42" i="9" s="1"/>
  <c r="C47" i="9" s="1"/>
  <c r="I47" i="9"/>
  <c r="I48" i="9" s="1"/>
  <c r="B33" i="9"/>
  <c r="B6" i="9"/>
  <c r="C6" i="9" s="1"/>
  <c r="N47" i="9"/>
  <c r="D538" i="5"/>
  <c r="D539" i="5" s="1"/>
  <c r="B47" i="9" l="1"/>
  <c r="D42" i="9" s="1"/>
  <c r="N48" i="9"/>
  <c r="B7" i="9"/>
  <c r="C33" i="9"/>
  <c r="D540" i="5"/>
  <c r="D541" i="5" s="1"/>
  <c r="D542" i="5" s="1"/>
  <c r="D40" i="9" l="1"/>
  <c r="D47" i="9"/>
  <c r="D43" i="9"/>
  <c r="D44" i="9"/>
  <c r="D41" i="9"/>
  <c r="D45" i="9"/>
  <c r="B10" i="9"/>
  <c r="C7" i="9"/>
  <c r="C10" i="9" s="1"/>
  <c r="C48" i="9" s="1"/>
  <c r="D36" i="9" l="1"/>
  <c r="D26" i="9"/>
  <c r="D21" i="9"/>
  <c r="D12" i="9"/>
  <c r="D18" i="9"/>
  <c r="D16" i="9"/>
  <c r="D20" i="9"/>
  <c r="D14" i="9"/>
  <c r="D15" i="9"/>
  <c r="D5" i="9"/>
  <c r="D37" i="9"/>
  <c r="D29" i="9"/>
  <c r="D27" i="9"/>
  <c r="D23" i="9"/>
  <c r="D8" i="9"/>
  <c r="D7" i="9"/>
  <c r="D25" i="9"/>
  <c r="B48" i="9"/>
  <c r="D9" i="9"/>
  <c r="D6" i="9"/>
  <c r="D35" i="9"/>
  <c r="D13" i="9"/>
  <c r="D28" i="9"/>
  <c r="D30" i="9"/>
  <c r="D19" i="9"/>
  <c r="D24" i="9"/>
  <c r="D33" i="9"/>
  <c r="D10" i="9"/>
  <c r="D31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55" authorId="0" shapeId="0" xr:uid="{9BB2EDCC-E06F-4070-81FE-E37742DE5258}">
      <text>
        <r>
          <rPr>
            <sz val="9"/>
            <color indexed="81"/>
            <rFont val="Tahoma"/>
            <family val="2"/>
          </rPr>
          <t xml:space="preserve">PET Film Density 1.4
</t>
        </r>
      </text>
    </comment>
    <comment ref="C60" authorId="0" shapeId="0" xr:uid="{8C17B652-DE82-4183-A552-96D745FB3CDD}">
      <text>
        <r>
          <rPr>
            <sz val="9"/>
            <color indexed="81"/>
            <rFont val="Tahoma"/>
            <family val="2"/>
          </rPr>
          <t xml:space="preserve">PET Film Density 1.4
</t>
        </r>
      </text>
    </comment>
    <comment ref="C75" authorId="0" shapeId="0" xr:uid="{3F6FDDBF-7F95-4018-AF5C-6D387BAA9D09}">
      <text>
        <r>
          <rPr>
            <sz val="9"/>
            <color indexed="81"/>
            <rFont val="Tahoma"/>
            <family val="2"/>
          </rPr>
          <t>Salary+PF+Pension+Gratuity+Bonus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tc={D1A55E0B-4DCA-4814-8ED8-7F7AED121DD3}</author>
  </authors>
  <commentList>
    <comment ref="B41" authorId="0" shapeId="0" xr:uid="{D1A55E0B-4DCA-4814-8ED8-7F7AED121DD3}">
      <text>
        <r>
          <rPr>
            <sz val="9"/>
            <color theme="1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 mm margin between 2 wraps/cartons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tc={D9F3231B-31DA-4762-8499-F851A5A1AF71}</author>
    <author>tc={E5BBF846-FCCF-4A1C-9CE3-E42C4CBFB910}</author>
    <author>tc={6ABFF7C4-24E2-4BDE-A1B6-7B8B7FD58A65}</author>
    <author>tc={B204B231-F5BA-4CAF-8E15-7288FDFAB257}</author>
    <author>tc={E9C0E92E-B3E7-4FF3-B196-9BE329CA889F}</author>
    <author>tc={1E795EA9-7380-41C6-A6D2-51AB004316F6}</author>
    <author>tc={9B3564B3-40E6-4EA0-9487-E77B9AF46B0B}</author>
    <author>tc={3B279537-E749-41A4-A159-702249859C09}</author>
    <author>tc={64E9B790-AC62-4B98-ABEE-5EFAA6A49F43}</author>
    <author>tc={B48A00E8-4B74-4E74-AAF3-7537CB5507AB}</author>
    <author>tc={478BF5EB-CEE2-44E5-B065-3AC91B202CAE}</author>
    <author>tc={817A64B2-8870-4691-AC4D-24CF4EEC02B0}</author>
    <author>tc={56C5E891-FD86-4606-86E6-FAAA99A0109C}</author>
    <author>tc={7F504796-2244-4C11-84C0-A292F0B9D915}</author>
    <author>tc={6157DC9A-0066-4153-9D7B-B3DC02AC6733}</author>
    <author>tc={A5ACCD3A-894B-4B05-B6B1-BD8455006816}</author>
    <author>tc={BFE10253-DBE5-4C63-8189-84821BB5C95E}</author>
    <author>tc={C50F033E-2AE7-41DF-9929-B3F0302F26F5}</author>
    <author>tc={FDF17174-53DF-4B97-96B3-AC0005502B48}</author>
    <author>tc={E25CA215-4262-45F9-BAA8-462BB6A1011C}</author>
    <author>tc={FFEE3B92-6513-453D-823F-FD3B4F7F72B1}</author>
    <author>tc={5FEA5DD7-000A-4E9E-A436-29FB01B30ABC}</author>
    <author>tc={FE524B5F-B8BB-4CD8-8A6D-30CE8C675579}</author>
    <author>tc={CD657119-33C5-4637-BB5E-8D2D9DEB0E49}</author>
    <author>tc={FC15A23C-32BD-4E70-B8A6-AAD05B5B227F}</author>
    <author>tc={B994A39C-8A74-4445-98A1-6754A0D9BFBF}</author>
    <author>tc={8BCCAD0D-F625-4696-BCA0-DE91C3ACBA98}</author>
    <author>tc={E5592952-25EE-479D-9B2A-89E47C5DA585}</author>
    <author>tc={3ACFFA19-12DF-40C8-A592-BD93298CA0DE}</author>
    <author>tc={91D405D0-B9C4-42A4-B56D-27BA6426BD2E}</author>
    <author>tc={37250499-E37E-4F7A-8AB5-2C36B62DD683}</author>
    <author>tc={2BCFE6D5-03E8-49A1-8D4F-DC931E1B568D}</author>
    <author>tc={A2767194-3D78-440B-8265-B5A5215922DB}</author>
    <author>tc={DE16859D-1B9E-488C-8EEB-ECD592FA1A9B}</author>
    <author>tc={2639992C-6A44-4192-9E4A-13F84D96BCC2}</author>
    <author>tc={7AE5B1FA-BAB7-498F-87C6-35BC08C79E34}</author>
    <author>tc={E8F8526A-9797-4A10-866E-8C256258E272}</author>
    <author>tc={6DDEFECE-FF86-47E4-941B-14686B1B8404}</author>
    <author>tc={32BBAF49-790B-479F-9E28-680C45460955}</author>
    <author>tc={EAC19CEB-2747-4296-A665-969CB707B437}</author>
    <author>tc={D1E47B15-D926-40C6-AEE5-3E0E8641B63C}</author>
    <author>tc={83933892-1BE7-4300-9656-D71904A282DE}</author>
    <author>tc={ADA8DFFD-D62C-433E-80A5-8F56F76A6DC7}</author>
    <author>tc={C2CAEDD3-EF6A-4C3F-A5F5-8279B5755882}</author>
    <author>tc={458AA5C5-D883-427A-87E8-797CC41BD0C8}</author>
    <author>tc={38D2E047-B46A-46D9-9E6B-1C948955F4A6}</author>
    <author>tc={2E26A94D-63DB-4310-91CE-233526C7FDE2}</author>
    <author>tc={5754EC41-27E2-4AA6-9E43-23389DEABDAC}</author>
    <author>tc={F7A0C78D-C93A-4428-A9EE-9DA951B290BA}</author>
    <author>tc={EB971055-5617-4F2A-8AD6-01313CF7AE41}</author>
    <author>tc={9169ABF0-AD3D-47E9-816E-1085E366EAA7}</author>
    <author>tc={C79BB4F1-669C-4A97-866A-44130047DF2C}</author>
    <author>tc={E2C58E56-C70E-4307-996D-530B95EE636E}</author>
    <author>tc={6A5CE8AF-6735-4FC4-BF1E-8BD41F504CA5}</author>
    <author>tc={563902DB-05CC-439D-9DCF-58FD9766B42B}</author>
  </authors>
  <commentList>
    <comment ref="D11" authorId="0" shapeId="0" xr:uid="{D9F3231B-31DA-4762-8499-F851A5A1AF71}">
      <text>
        <r>
          <rPr>
            <sz val="9"/>
            <color theme="1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https://www.globalpetrolprices.com/Argentina/electricity_prices/</t>
        </r>
      </text>
    </comment>
    <comment ref="I11" authorId="1" shapeId="0" xr:uid="{E5BBF846-FCCF-4A1C-9CE3-E42C4CBFB910}">
      <text>
        <r>
          <rPr>
            <sz val="9"/>
            <color theme="1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https://taxsummaries.pwc.com/argentina/corporate/deductions</t>
        </r>
      </text>
    </comment>
    <comment ref="D12" authorId="2" shapeId="0" xr:uid="{6ABFF7C4-24E2-4BDE-A1B6-7B8B7FD58A65}">
      <text>
        <r>
          <rPr>
            <sz val="9"/>
            <color theme="1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https://www.globalpetrolprices.com/Brazil/electricity_prices/</t>
        </r>
      </text>
    </comment>
    <comment ref="H12" authorId="3" shapeId="0" xr:uid="{B204B231-F5BA-4CAF-8E15-7288FDFAB257}">
      <text>
        <r>
          <rPr>
            <sz val="9"/>
            <color theme="1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https://taxsummaries.pwc.com/brazil/corporate/deductions</t>
        </r>
      </text>
    </comment>
    <comment ref="I12" authorId="4" shapeId="0" xr:uid="{E9C0E92E-B3E7-4FF3-B196-9BE329CA889F}">
      <text>
        <r>
          <rPr>
            <sz val="9"/>
            <color theme="1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https://taxsummaries.pwc.com/brazil/corporate/deductions</t>
        </r>
      </text>
    </comment>
    <comment ref="D13" authorId="5" shapeId="0" xr:uid="{1E795EA9-7380-41C6-A6D2-51AB004316F6}">
      <text>
        <r>
          <rPr>
            <sz val="9"/>
            <color theme="1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https://www.globalpetrolprices.com/China/electricity_prices/#:~:text=The%20residential%20electricity%20price%20in,0.025%200.050%200.075%200.100%200.125</t>
        </r>
      </text>
    </comment>
    <comment ref="E13" authorId="6" shapeId="0" xr:uid="{9B3564B3-40E6-4EA0-9487-E77B9AF46B0B}">
      <text>
        <r>
          <rPr>
            <sz val="9"/>
            <color theme="1"/>
            <rFont val="Calibri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https://www.glassdoor.co.in/Salaries/shanghai-china-manufacturing-operator-salary-SRCH_IL.0,14_IM999_KO15,37.htm
Basis Converation with Vinya &amp; LLM - Taken Revised Numbers Orginal Number 300,000 +40%
</t>
        </r>
      </text>
    </comment>
    <comment ref="F13" authorId="7" shapeId="0" xr:uid="{3B279537-E749-41A4-A159-702249859C09}">
      <text>
        <r>
          <rPr>
            <sz val="9"/>
            <color theme="1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https://www.glassdoor.co.in/Salaries/shanghai-china-manufacturing-engineer-salary-SRCH_IL.0,14_IM999_KO15,37.htm
Basis Converation with Vinya &amp; LLM - Taken Revised Numbers Orginal Number 300,000 +40%</t>
        </r>
      </text>
    </comment>
    <comment ref="G13" authorId="8" shapeId="0" xr:uid="{64E9B790-AC62-4B98-ABEE-5EFAA6A49F43}">
      <text>
        <r>
          <rPr>
            <sz val="9"/>
            <color theme="1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https://www.glassdoor.sg/Salaries/china-production-manager-salary-SRCH_IL.0,5_IN48_KO6,24.htm
Basis Converation with Vinya &amp; LLM - Taken Revised Numbers Orginal Number 348,000 +40%</t>
        </r>
      </text>
    </comment>
    <comment ref="M13" authorId="9" shapeId="0" xr:uid="{B48A00E8-4B74-4E74-AAF3-7537CB5507AB}">
      <text>
        <r>
          <rPr>
            <sz val="9"/>
            <color theme="1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https://www.icbc.com.cn/ICBC/EN/FinancialInformation/RMBDepositLoanRate/RMBLoanRate/</t>
        </r>
      </text>
    </comment>
    <comment ref="D14" authorId="10" shapeId="0" xr:uid="{478BF5EB-CEE2-44E5-B065-3AC91B202CAE}">
      <text>
        <r>
          <rPr>
            <sz val="9"/>
            <color theme="1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https://www.globalpetrolprices.com/France/electricity_prices/</t>
        </r>
      </text>
    </comment>
    <comment ref="D15" authorId="11" shapeId="0" xr:uid="{817A64B2-8870-4691-AC4D-24CF4EEC02B0}">
      <text>
        <r>
          <rPr>
            <sz val="9"/>
            <color theme="1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https://www.globalpetrolprices.com/Germany/electricity_prices/</t>
        </r>
      </text>
    </comment>
    <comment ref="D16" authorId="12" shapeId="0" xr:uid="{56C5E891-FD86-4606-86E6-FAAA99A0109C}">
      <text>
        <r>
          <rPr>
            <sz val="9"/>
            <color theme="1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https://www.globalpetrolprices.com/Hungary/electricity_prices/</t>
        </r>
      </text>
    </comment>
    <comment ref="H16" authorId="13" shapeId="0" xr:uid="{7F504796-2244-4C11-84C0-A292F0B9D915}">
      <text>
        <r>
          <rPr>
            <sz val="9"/>
            <color theme="1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https://taxsummaries.pwc.com/hungary/corporate/deductions#:~:text=Assets%20newly%20acquired%20since%202003,be%20recognised%20for%20CIT%20purposes.</t>
        </r>
      </text>
    </comment>
    <comment ref="I16" authorId="14" shapeId="0" xr:uid="{6157DC9A-0066-4153-9D7B-B3DC02AC6733}">
      <text>
        <r>
          <rPr>
            <sz val="9"/>
            <color theme="1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https://taxsummaries.pwc.com/hungary/corporate/deductions#:~:text=Assets%20newly%20acquired%20since%202003,be%20recognised%20for%20CIT%20purposes.</t>
        </r>
      </text>
    </comment>
    <comment ref="D17" authorId="15" shapeId="0" xr:uid="{A5ACCD3A-894B-4B05-B6B1-BD8455006816}">
      <text>
        <r>
          <rPr>
            <sz val="9"/>
            <color theme="1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https://www.globalpetrolprices.com/India/electricity_prices/</t>
        </r>
      </text>
    </comment>
    <comment ref="E17" authorId="16" shapeId="0" xr:uid="{BFE10253-DBE5-4C63-8189-84821BB5C95E}">
      <text>
        <r>
          <rPr>
            <sz val="9"/>
            <color theme="1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https://www.ambitionbox.com/profile/machine-operator-salary</t>
        </r>
      </text>
    </comment>
    <comment ref="F17" authorId="17" shapeId="0" xr:uid="{C50F033E-2AE7-41DF-9929-B3F0302F26F5}">
      <text>
        <r>
          <rPr>
            <sz val="9"/>
            <color theme="1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https://www.glassdoor.co.in/Salaries/manufacturing-engineer-salary-SRCH_KO0,22.htm</t>
        </r>
      </text>
    </comment>
    <comment ref="G17" authorId="18" shapeId="0" xr:uid="{FDF17174-53DF-4B97-96B3-AC0005502B48}">
      <text>
        <r>
          <rPr>
            <sz val="9"/>
            <color theme="1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https://www.glassdoor.co.in/Salaries/production-manager-salary-SRCH_KO0,18.htm</t>
        </r>
      </text>
    </comment>
    <comment ref="D18" authorId="19" shapeId="0" xr:uid="{E25CA215-4262-45F9-BAA8-462BB6A1011C}">
      <text>
        <r>
          <rPr>
            <sz val="9"/>
            <color theme="1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https://www.globalpetrolprices.com/Indonesia/electricity_prices/</t>
        </r>
      </text>
    </comment>
    <comment ref="H18" authorId="20" shapeId="0" xr:uid="{FFEE3B92-6513-453D-823F-FD3B4F7F72B1}">
      <text>
        <r>
          <rPr>
            <sz val="9"/>
            <color theme="1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https://taxsummaries.pwc.com/indonesia/corporate/deductions</t>
        </r>
      </text>
    </comment>
    <comment ref="I18" authorId="21" shapeId="0" xr:uid="{5FEA5DD7-000A-4E9E-A436-29FB01B30ABC}">
      <text>
        <r>
          <rPr>
            <sz val="9"/>
            <color theme="1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https://taxsummaries.pwc.com/indonesia/corporate/deductions</t>
        </r>
      </text>
    </comment>
    <comment ref="D19" authorId="22" shapeId="0" xr:uid="{FE524B5F-B8BB-4CD8-8A6D-30CE8C675579}">
      <text>
        <r>
          <rPr>
            <sz val="9"/>
            <color theme="1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https://www.globalpetrolprices.com/Mexico/electricity_prices/</t>
        </r>
      </text>
    </comment>
    <comment ref="D20" authorId="23" shapeId="0" xr:uid="{CD657119-33C5-4637-BB5E-8D2D9DEB0E49}">
      <text>
        <r>
          <rPr>
            <sz val="9"/>
            <color theme="1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https://www.globalpetrolprices.com/Pakistan/electricity_prices/</t>
        </r>
      </text>
    </comment>
    <comment ref="H20" authorId="24" shapeId="0" xr:uid="{FC15A23C-32BD-4E70-B8A6-AAD05B5B227F}">
      <text>
        <r>
          <rPr>
            <sz val="9"/>
            <color theme="1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https://taxsummaries.pwc.com/pakistan/corporate/deductions</t>
        </r>
      </text>
    </comment>
    <comment ref="I20" authorId="25" shapeId="0" xr:uid="{B994A39C-8A74-4445-98A1-6754A0D9BFBF}">
      <text>
        <r>
          <rPr>
            <sz val="9"/>
            <color theme="1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https://taxsummaries.pwc.com/pakistan/corporate/deductions</t>
        </r>
      </text>
    </comment>
    <comment ref="D21" authorId="26" shapeId="0" xr:uid="{8BCCAD0D-F625-4696-BCA0-DE91C3ACBA98}">
      <text>
        <r>
          <rPr>
            <sz val="9"/>
            <color theme="1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https://www.globalpetrolprices.com/Philippines/electricity_prices/</t>
        </r>
      </text>
    </comment>
    <comment ref="E21" authorId="27" shapeId="0" xr:uid="{E5592952-25EE-479D-9B2A-89E47C5DA585}">
      <text>
        <r>
          <rPr>
            <sz val="9"/>
            <color theme="1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https://www.glassdoor.co.in/Salaries/philippines-machine-operator-salary-SRCH_IL.0,11_IN204_KO12,28.htm?countryRedirect=true</t>
        </r>
      </text>
    </comment>
    <comment ref="F21" authorId="28" shapeId="0" xr:uid="{3ACFFA19-12DF-40C8-A592-BD93298CA0DE}">
      <text>
        <r>
          <rPr>
            <sz val="9"/>
            <color theme="1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https://www.glassdoor.co.in/Salaries/cebu-city-philippines-manufacturing-engineer-salary-SRCH_IL.0,21_IM1639_KO22,44.htm</t>
        </r>
      </text>
    </comment>
    <comment ref="G21" authorId="29" shapeId="0" xr:uid="{91D405D0-B9C4-42A4-B56D-27BA6426BD2E}">
      <text>
        <r>
          <rPr>
            <sz val="9"/>
            <color theme="1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https://ph.indeed.com/career/factory-manager/salaries</t>
        </r>
      </text>
    </comment>
    <comment ref="J21" authorId="30" shapeId="0" xr:uid="{37250499-E37E-4F7A-8AB5-2C36B62DD683}">
      <text>
        <r>
          <rPr>
            <sz val="9"/>
            <color theme="1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https://onepropertee.com/1-000-sqm-industrial-lot-sale-baliuag-bulacan-ready-build-access-via-nlex-property</t>
        </r>
      </text>
    </comment>
    <comment ref="K21" authorId="31" shapeId="0" xr:uid="{2BCFE6D5-03E8-49A1-8D4F-DC931E1B568D}">
      <text>
        <r>
          <rPr>
            <sz val="9"/>
            <color theme="1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https://www.dotproperty.com.ph/ads/warehouse-factory-for-sale-in-malinta-metro-manila_28a58704c9c9-88a0-4b22-adad-c1a41089</t>
        </r>
      </text>
    </comment>
    <comment ref="L21" authorId="32" shapeId="0" xr:uid="{A2767194-3D78-440B-8265-B5A5215922DB}">
      <text>
        <r>
          <rPr>
            <sz val="9"/>
            <color theme="1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https://www.dotproperty.com.ph/ads/warehouse-factory-for-rent-in-tingub-cebu_7632309acdee-5ba0-f792-1572-ddd01089</t>
        </r>
      </text>
    </comment>
    <comment ref="M21" authorId="33" shapeId="0" xr:uid="{DE16859D-1B9E-488C-8EEB-ECD592FA1A9B}">
      <text>
        <r>
          <rPr>
            <sz val="9"/>
            <color theme="1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https://www.pnb.com.ph/index.php/business-loans</t>
        </r>
      </text>
    </comment>
    <comment ref="N21" authorId="34" shapeId="0" xr:uid="{2639992C-6A44-4192-9E4A-13F84D96BCC2}">
      <text>
        <r>
          <rPr>
            <sz val="9"/>
            <color theme="1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https://www.securitybank.com/business/loans/business-working-capital/</t>
        </r>
      </text>
    </comment>
    <comment ref="D22" authorId="35" shapeId="0" xr:uid="{7AE5B1FA-BAB7-498F-87C6-35BC08C79E34}">
      <text>
        <r>
          <rPr>
            <sz val="9"/>
            <color theme="1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https://www.globalpetrolprices.com/South-Africa/electricity_prices/</t>
        </r>
      </text>
    </comment>
    <comment ref="H22" authorId="36" shapeId="0" xr:uid="{E8F8526A-9797-4A10-866E-8C256258E272}">
      <text>
        <r>
          <rPr>
            <sz val="9"/>
            <color theme="1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https://taxsummaries.pwc.com/south-africa/corporate/deductions</t>
        </r>
      </text>
    </comment>
    <comment ref="I22" authorId="37" shapeId="0" xr:uid="{6DDEFECE-FF86-47E4-941B-14686B1B8404}">
      <text>
        <r>
          <rPr>
            <sz val="9"/>
            <color theme="1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https://taxsummaries.pwc.com/south-africa/corporate/deductions</t>
        </r>
      </text>
    </comment>
    <comment ref="D23" authorId="38" shapeId="0" xr:uid="{32BBAF49-790B-479F-9E28-680C45460955}">
      <text>
        <r>
          <rPr>
            <sz val="9"/>
            <color theme="1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https://www.globalpetrolprices.com/Turkey/electricity_prices/</t>
        </r>
      </text>
    </comment>
    <comment ref="D24" authorId="39" shapeId="0" xr:uid="{EAC19CEB-2747-4296-A665-969CB707B437}">
      <text>
        <r>
          <rPr>
            <sz val="9"/>
            <color theme="1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https://www.globalpetrolprices.com/United-Kingdom/electricity_prices/</t>
        </r>
      </text>
    </comment>
    <comment ref="E24" authorId="40" shapeId="0" xr:uid="{D1E47B15-D926-40C6-AEE5-3E0E8641B63C}">
      <text>
        <r>
          <rPr>
            <sz val="9"/>
            <color theme="1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https://www.glassdoor.co.uk/Salaries/machine-operator-salary-SRCH_KO0,16.htm</t>
        </r>
      </text>
    </comment>
    <comment ref="F24" authorId="41" shapeId="0" xr:uid="{83933892-1BE7-4300-9656-D71904A282DE}">
      <text>
        <r>
          <rPr>
            <sz val="9"/>
            <color theme="1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https://www.glassdoor.co.uk/Salaries/manufacturing-engineer-salary-SRCH_KO0,22.htm</t>
        </r>
      </text>
    </comment>
    <comment ref="G24" authorId="42" shapeId="0" xr:uid="{ADA8DFFD-D62C-433E-80A5-8F56F76A6DC7}">
      <text>
        <r>
          <rPr>
            <sz val="9"/>
            <color theme="1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https://www.glassdoor.co.uk/Salaries/production-manager-salary-SRCH_KO0,18.htm</t>
        </r>
      </text>
    </comment>
    <comment ref="H24" authorId="43" shapeId="0" xr:uid="{C2CAEDD3-EF6A-4C3F-A5F5-8279B5755882}">
      <text>
        <r>
          <rPr>
            <sz val="9"/>
            <color theme="1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https://taxsummaries.pwc.com/united-kingdom/corporate/deductions</t>
        </r>
      </text>
    </comment>
    <comment ref="I24" authorId="44" shapeId="0" xr:uid="{458AA5C5-D883-427A-87E8-797CC41BD0C8}">
      <text>
        <r>
          <rPr>
            <sz val="9"/>
            <color theme="1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https://taxsummaries.pwc.com/united-kingdom/corporate/deductions</t>
        </r>
      </text>
    </comment>
    <comment ref="D25" authorId="45" shapeId="0" xr:uid="{38D2E047-B46A-46D9-9E6B-1C948955F4A6}">
      <text>
        <r>
          <rPr>
            <sz val="9"/>
            <color theme="1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https://www.globalpetrolprices.com/USA/electricity_prices/</t>
        </r>
      </text>
    </comment>
    <comment ref="E25" authorId="46" shapeId="0" xr:uid="{2E26A94D-63DB-4310-91CE-233526C7FDE2}">
      <text>
        <r>
          <rPr>
            <sz val="9"/>
            <color theme="1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https://www.indeed.com/career/machine-operator/salaries</t>
        </r>
      </text>
    </comment>
    <comment ref="F25" authorId="47" shapeId="0" xr:uid="{5754EC41-27E2-4AA6-9E43-23389DEABDAC}">
      <text>
        <r>
          <rPr>
            <sz val="9"/>
            <color theme="1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https://www.indeed.com/career/manufacturing-engineer/salaries</t>
        </r>
      </text>
    </comment>
    <comment ref="G25" authorId="48" shapeId="0" xr:uid="{F7A0C78D-C93A-4428-A9EE-9DA951B290BA}">
      <text>
        <r>
          <rPr>
            <sz val="9"/>
            <color theme="1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https://www.indeed.com/career/production-manager/salaries</t>
        </r>
      </text>
    </comment>
    <comment ref="D26" authorId="49" shapeId="0" xr:uid="{EB971055-5617-4F2A-8AD6-01313CF7AE41}">
      <text>
        <r>
          <rPr>
            <sz val="9"/>
            <color theme="1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https://en.evn.com.vn/d/en-US/news/WHOLESALE-ELECTRICITY-TARIFF-Decision-No-1279QD-BCT-dated-9-May-2025-of-Ministry-of-Industry-and-Trade-60-28-260</t>
        </r>
      </text>
    </comment>
    <comment ref="E26" authorId="50" shapeId="0" xr:uid="{9169ABF0-AD3D-47E9-816E-1085E366EAA7}">
      <text>
        <r>
          <rPr>
            <sz val="9"/>
            <color theme="1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https://www.glassdoor.co.in/Salaries/vietnam-machine-operator-salary-SRCH_IL.0,7_IN251_KO8,24.htm?countryRedirect=true</t>
        </r>
      </text>
    </comment>
    <comment ref="F26" authorId="51" shapeId="0" xr:uid="{C79BB4F1-669C-4A97-866A-44130047DF2C}">
      <text>
        <r>
          <rPr>
            <sz val="9"/>
            <color theme="1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https://www.glassdoor.co.in/Salaries/ho-chi-minh-vietnam-manufacturing-engineer-salary-SRCH_IL.0,19_IM1746_KO20,42.htm</t>
        </r>
      </text>
    </comment>
    <comment ref="G26" authorId="52" shapeId="0" xr:uid="{E2C58E56-C70E-4307-996D-530B95EE636E}">
      <text>
        <r>
          <rPr>
            <sz val="9"/>
            <color theme="1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https://www.erieri.com/salary/job/manufacturing-manager/vietnam</t>
        </r>
      </text>
    </comment>
    <comment ref="M26" authorId="53" shapeId="0" xr:uid="{6A5CE8AF-6735-4FC4-BF1E-8BD41F504CA5}">
      <text>
        <r>
          <rPr>
            <sz val="9"/>
            <color theme="1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https://www.vietcombank.com.vn/en/Personal/Truy-cap-nhanh/Tin-noi-bat/Articles/2025/04/24/Vay-san-xuat-kinh-doanh</t>
        </r>
      </text>
    </comment>
    <comment ref="N26" authorId="54" shapeId="0" xr:uid="{563902DB-05CC-439D-9DCF-58FD9766B42B}">
      <text>
        <r>
          <rPr>
            <sz val="9"/>
            <color theme="1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https://www.vietcombank.com.vn/en/Personal/Truy-cap-nhanh/KHCN---Danh-sach-uu-dai/KHCN---Khach-hang-ca-nhan-vay-von-160000-ty</t>
        </r>
      </text>
    </comment>
  </commentList>
</comments>
</file>

<file path=xl/sharedStrings.xml><?xml version="1.0" encoding="utf-8"?>
<sst xmlns="http://schemas.openxmlformats.org/spreadsheetml/2006/main" count="1475" uniqueCount="640">
  <si>
    <t>PLM Code</t>
  </si>
  <si>
    <t>Details</t>
  </si>
  <si>
    <t>EUR/1000</t>
  </si>
  <si>
    <t>% Total Cost</t>
  </si>
  <si>
    <t>Material</t>
  </si>
  <si>
    <t>Conversion</t>
  </si>
  <si>
    <t>Margin</t>
  </si>
  <si>
    <t>Packaging</t>
  </si>
  <si>
    <t xml:space="preserve">Freight </t>
  </si>
  <si>
    <t>Total</t>
  </si>
  <si>
    <t xml:space="preserve">Material Cost </t>
  </si>
  <si>
    <t>Ink</t>
  </si>
  <si>
    <t>Hot Foil</t>
  </si>
  <si>
    <t>Primer</t>
  </si>
  <si>
    <t>Other Costs</t>
  </si>
  <si>
    <t>Wastage</t>
  </si>
  <si>
    <t>Conversion Cost</t>
  </si>
  <si>
    <t>Electricity</t>
  </si>
  <si>
    <t>Labour-Direct</t>
  </si>
  <si>
    <t>Labour-Indirect</t>
  </si>
  <si>
    <t>Repair &amp; Maintenance</t>
  </si>
  <si>
    <t>Other Overheads</t>
  </si>
  <si>
    <t>Lease</t>
  </si>
  <si>
    <t>Depreciation</t>
  </si>
  <si>
    <t>Interest</t>
  </si>
  <si>
    <t>Distribution</t>
  </si>
  <si>
    <t>Freight</t>
  </si>
  <si>
    <t>Process Costing</t>
  </si>
  <si>
    <t>Energy</t>
  </si>
  <si>
    <t>Labour</t>
  </si>
  <si>
    <t>Repairs</t>
  </si>
  <si>
    <t>Other OH</t>
  </si>
  <si>
    <t>Shipping</t>
  </si>
  <si>
    <t>Feedstock</t>
  </si>
  <si>
    <t>Printing</t>
  </si>
  <si>
    <t>Folding &amp; Gluing</t>
  </si>
  <si>
    <t>Lamination</t>
  </si>
  <si>
    <t>Foil Stamping &amp; other decoration</t>
  </si>
  <si>
    <t>Dispatch</t>
  </si>
  <si>
    <t>Total Cost</t>
  </si>
  <si>
    <t>Note</t>
  </si>
  <si>
    <t>Mandatory field</t>
  </si>
  <si>
    <t>Product</t>
  </si>
  <si>
    <t>Carton</t>
  </si>
  <si>
    <t>xxxxxxxx</t>
  </si>
  <si>
    <t>Country</t>
  </si>
  <si>
    <t>Vietnam</t>
  </si>
  <si>
    <t>Currency Symbol</t>
  </si>
  <si>
    <t>Supplier</t>
  </si>
  <si>
    <t>Costing Period</t>
  </si>
  <si>
    <t>Annual Volume</t>
  </si>
  <si>
    <t>Average order size</t>
  </si>
  <si>
    <t>SKU Code</t>
  </si>
  <si>
    <t>xxxx</t>
  </si>
  <si>
    <t>SKU Description</t>
  </si>
  <si>
    <t>Material Rates</t>
  </si>
  <si>
    <t>Board Rate</t>
  </si>
  <si>
    <t>Per kg</t>
  </si>
  <si>
    <t>Ink Rate</t>
  </si>
  <si>
    <t>Varnish Rate</t>
  </si>
  <si>
    <t>Foil Rate</t>
  </si>
  <si>
    <t>Per Roll</t>
  </si>
  <si>
    <t>Film Rate</t>
  </si>
  <si>
    <t>Primer Rate</t>
  </si>
  <si>
    <t>Carton Details</t>
  </si>
  <si>
    <t>No of Colours</t>
  </si>
  <si>
    <t>Nos</t>
  </si>
  <si>
    <t>Common Colours</t>
  </si>
  <si>
    <t>No of Designs</t>
  </si>
  <si>
    <t>No of Print Runs / year</t>
  </si>
  <si>
    <t>No of Designs/Run</t>
  </si>
  <si>
    <t>Length 1</t>
  </si>
  <si>
    <t>mm</t>
  </si>
  <si>
    <t>Length 2</t>
  </si>
  <si>
    <t>Width 1</t>
  </si>
  <si>
    <t>Width 2</t>
  </si>
  <si>
    <t>Height</t>
  </si>
  <si>
    <t>Max Flap</t>
  </si>
  <si>
    <t>Gluing Area</t>
  </si>
  <si>
    <t>Machine Size</t>
  </si>
  <si>
    <t>IIIB</t>
  </si>
  <si>
    <t>* Please select from Drop down list</t>
  </si>
  <si>
    <t>Grain Direction</t>
  </si>
  <si>
    <t>Long</t>
  </si>
  <si>
    <t>Board Type</t>
  </si>
  <si>
    <t>Board GSM</t>
  </si>
  <si>
    <t>GSM</t>
  </si>
  <si>
    <t>Varnish Type</t>
  </si>
  <si>
    <t>UV varnish (Gloss)</t>
  </si>
  <si>
    <t>Spot Varnish</t>
  </si>
  <si>
    <t>N</t>
  </si>
  <si>
    <t>Spot Varnish Type</t>
  </si>
  <si>
    <t>UV Varnish (Gloss)</t>
  </si>
  <si>
    <t>Spot Varnish Area (% of Total SQM)</t>
  </si>
  <si>
    <t>Hot Foiling</t>
  </si>
  <si>
    <t>Foil Length</t>
  </si>
  <si>
    <t>Foil Width</t>
  </si>
  <si>
    <t>Film Type</t>
  </si>
  <si>
    <t>* Please input the Film</t>
  </si>
  <si>
    <t>UV Primer</t>
  </si>
  <si>
    <t>* User may input as required</t>
  </si>
  <si>
    <t>Manpower Cost</t>
  </si>
  <si>
    <t>Skilled Labour</t>
  </si>
  <si>
    <t>Engineer</t>
  </si>
  <si>
    <t>Production Manager</t>
  </si>
  <si>
    <t>No of Shifts</t>
  </si>
  <si>
    <t>Overheads</t>
  </si>
  <si>
    <t>Machine Value</t>
  </si>
  <si>
    <t>Depreciation Assumption</t>
  </si>
  <si>
    <t>%</t>
  </si>
  <si>
    <t>Completed Life of Asset</t>
  </si>
  <si>
    <t>Years</t>
  </si>
  <si>
    <t>Depreciation on Building</t>
  </si>
  <si>
    <t>Premises</t>
  </si>
  <si>
    <t>Land Cost</t>
  </si>
  <si>
    <t>INR Per Sq Mtr</t>
  </si>
  <si>
    <t>Building Cost</t>
  </si>
  <si>
    <t>Lease Cost</t>
  </si>
  <si>
    <t>Type of Premises</t>
  </si>
  <si>
    <t>Owned</t>
  </si>
  <si>
    <t>Financials</t>
  </si>
  <si>
    <t>Interest on Long Term Loan</t>
  </si>
  <si>
    <t>Interest on Working Capital</t>
  </si>
  <si>
    <t>LT Debt - Equity Ratio</t>
  </si>
  <si>
    <t>Packing</t>
  </si>
  <si>
    <t>Cartons Per Box</t>
  </si>
  <si>
    <t>Boxes Per Pallet</t>
  </si>
  <si>
    <t>Boxes Per Container</t>
  </si>
  <si>
    <t>Logistics</t>
  </si>
  <si>
    <t>Container Type</t>
  </si>
  <si>
    <t>22 Feet Container</t>
  </si>
  <si>
    <t>Weight per container</t>
  </si>
  <si>
    <t>kg</t>
  </si>
  <si>
    <t>Freight Cost</t>
  </si>
  <si>
    <t>Exchange Rates</t>
  </si>
  <si>
    <t>Euro</t>
  </si>
  <si>
    <t>USD</t>
  </si>
  <si>
    <t>Payment Terms</t>
  </si>
  <si>
    <t>RM</t>
  </si>
  <si>
    <t>No of days</t>
  </si>
  <si>
    <t>FG</t>
  </si>
  <si>
    <t>Inventory Holding</t>
  </si>
  <si>
    <t>RM Inventory Holding</t>
  </si>
  <si>
    <t>Days</t>
  </si>
  <si>
    <t>FG Inventory Holding</t>
  </si>
  <si>
    <t>Leased</t>
  </si>
  <si>
    <t>Unit</t>
  </si>
  <si>
    <t>Flat Size</t>
  </si>
  <si>
    <t>Length</t>
  </si>
  <si>
    <t>Width</t>
  </si>
  <si>
    <t>Area of 1 carton</t>
  </si>
  <si>
    <t>Sq. Mtrs</t>
  </si>
  <si>
    <t>Actual Sheet Size to use</t>
  </si>
  <si>
    <t>Sheet Length</t>
  </si>
  <si>
    <t>Sheet Width</t>
  </si>
  <si>
    <t>Area of Sheet Used</t>
  </si>
  <si>
    <t>No of Ups per Sheet</t>
  </si>
  <si>
    <t>BOARD</t>
  </si>
  <si>
    <t>Board Consumption</t>
  </si>
  <si>
    <t>Kg</t>
  </si>
  <si>
    <t>Material Cost</t>
  </si>
  <si>
    <t>Board Cost</t>
  </si>
  <si>
    <t>Ink Type</t>
  </si>
  <si>
    <t>Offset Ink</t>
  </si>
  <si>
    <t>Ink GSM</t>
  </si>
  <si>
    <t>Ink Consumption</t>
  </si>
  <si>
    <t>Kg/1000 Cartons</t>
  </si>
  <si>
    <t>Ink Cost</t>
  </si>
  <si>
    <t>Varnish</t>
  </si>
  <si>
    <t>Varnish GSM</t>
  </si>
  <si>
    <t>Varnish Consumption</t>
  </si>
  <si>
    <t>Varnish Cost</t>
  </si>
  <si>
    <t>Primer GSM</t>
  </si>
  <si>
    <t>Primer Consumption</t>
  </si>
  <si>
    <t>Primer Cost</t>
  </si>
  <si>
    <t>LAMINATION</t>
  </si>
  <si>
    <t>Film GSM</t>
  </si>
  <si>
    <t>Film Cost</t>
  </si>
  <si>
    <t>Adhesive Rate</t>
  </si>
  <si>
    <t>Adhesive Specs</t>
  </si>
  <si>
    <t>Adhesive Consumption</t>
  </si>
  <si>
    <t>Adhesive Cost</t>
  </si>
  <si>
    <t>FOIL STAMPING</t>
  </si>
  <si>
    <t>Roll - Width</t>
  </si>
  <si>
    <t>Roll - Length</t>
  </si>
  <si>
    <t>Foil Consumption per carton</t>
  </si>
  <si>
    <t>Sq Inch</t>
  </si>
  <si>
    <t>No of Cartons per Roll</t>
  </si>
  <si>
    <t>Foil Type</t>
  </si>
  <si>
    <t>Hot Foil - Silver</t>
  </si>
  <si>
    <t>Foil Cost</t>
  </si>
  <si>
    <t>Printing Plate Cost</t>
  </si>
  <si>
    <t>Hot Foil Die Cost</t>
  </si>
  <si>
    <t>Creasing &amp; Blanking Die Cost</t>
  </si>
  <si>
    <t>Efficiency</t>
  </si>
  <si>
    <t>No of Hours</t>
  </si>
  <si>
    <t>No of Working Days</t>
  </si>
  <si>
    <t>No of Working Hours</t>
  </si>
  <si>
    <t>Machine Type</t>
  </si>
  <si>
    <t>Offset</t>
  </si>
  <si>
    <t>Machine Model</t>
  </si>
  <si>
    <t>KBA 8000</t>
  </si>
  <si>
    <t>Flexo Printing Machine</t>
  </si>
  <si>
    <t>Max Size Usable on Machine</t>
  </si>
  <si>
    <t>Max width</t>
  </si>
  <si>
    <t>Max length</t>
  </si>
  <si>
    <t>Carton Specs</t>
  </si>
  <si>
    <t xml:space="preserve">Area of 1 Carton </t>
  </si>
  <si>
    <t>Sqm</t>
  </si>
  <si>
    <t>LAYOUT (Sheet Margins)</t>
  </si>
  <si>
    <t>Side Lay-1</t>
  </si>
  <si>
    <t>Side Lay-2</t>
  </si>
  <si>
    <t>Gripper Margin</t>
  </si>
  <si>
    <t>Back Lay</t>
  </si>
  <si>
    <t>Trimmer</t>
  </si>
  <si>
    <t>Double cut margin</t>
  </si>
  <si>
    <t>Gutter</t>
  </si>
  <si>
    <t>Interlock</t>
  </si>
  <si>
    <t>No of Ups</t>
  </si>
  <si>
    <t>Lengthwise</t>
  </si>
  <si>
    <t>Widthwise</t>
  </si>
  <si>
    <t>No of Ups per sheet</t>
  </si>
  <si>
    <t>Actual Sheet Size to Use</t>
  </si>
  <si>
    <t>Area of Sheet</t>
  </si>
  <si>
    <t>SQM</t>
  </si>
  <si>
    <t>Line Speed</t>
  </si>
  <si>
    <t>Sheets/hour</t>
  </si>
  <si>
    <t>Design Change Colours</t>
  </si>
  <si>
    <t>Average Order Size</t>
  </si>
  <si>
    <t>No of Plate changes</t>
  </si>
  <si>
    <t>Average Run Size</t>
  </si>
  <si>
    <t>No of Sheets</t>
  </si>
  <si>
    <t xml:space="preserve">Machine Utilised </t>
  </si>
  <si>
    <t>Hours</t>
  </si>
  <si>
    <t>Set Up</t>
  </si>
  <si>
    <t>No of Set Ups/Year</t>
  </si>
  <si>
    <t>Time Required for Set Up</t>
  </si>
  <si>
    <t>Min</t>
  </si>
  <si>
    <t>Machine Speed at Set up</t>
  </si>
  <si>
    <t>Sheets/Min</t>
  </si>
  <si>
    <t>No of Sheets Wasted at Set up</t>
  </si>
  <si>
    <t>Set Up Wastage</t>
  </si>
  <si>
    <t>Registration</t>
  </si>
  <si>
    <t>No of Registrations/Year</t>
  </si>
  <si>
    <t>Time Required for Registration</t>
  </si>
  <si>
    <t>Machine Speed at Registration</t>
  </si>
  <si>
    <t>No of Sheets Wasted at Registration</t>
  </si>
  <si>
    <t>Resgistration Wastage</t>
  </si>
  <si>
    <t>Design Change Wastage</t>
  </si>
  <si>
    <t>Total Printing Wastage</t>
  </si>
  <si>
    <t>No of Hours Utilised</t>
  </si>
  <si>
    <t>Plate Cost</t>
  </si>
  <si>
    <t>No of Print Runs/Year</t>
  </si>
  <si>
    <t>Nos of Sheets</t>
  </si>
  <si>
    <t>No of Plates</t>
  </si>
  <si>
    <t>Ink Plate Cost</t>
  </si>
  <si>
    <t>Total Plate Cost</t>
  </si>
  <si>
    <t>Per 1000 Carton</t>
  </si>
  <si>
    <t>Gsm</t>
  </si>
  <si>
    <t>Energy - Cup</t>
  </si>
  <si>
    <t>Sheets/Hour</t>
  </si>
  <si>
    <t xml:space="preserve">Machine Set Up Utilised </t>
  </si>
  <si>
    <t>Machine Speed</t>
  </si>
  <si>
    <t xml:space="preserve">Machine Run On Utilised </t>
  </si>
  <si>
    <t>Total Machine Run Utilised</t>
  </si>
  <si>
    <t>Foil GSM</t>
  </si>
  <si>
    <t>Foiling Die Cost</t>
  </si>
  <si>
    <t>Life of Die</t>
  </si>
  <si>
    <t>No of Sheets required for Annual Demand</t>
  </si>
  <si>
    <t>Direct Labour - Cup</t>
  </si>
  <si>
    <t>Creasing &amp; Blanking</t>
  </si>
  <si>
    <t>Creasing/Blanking Die Cost</t>
  </si>
  <si>
    <t>Blanking Die Cost</t>
  </si>
  <si>
    <t>Folder - Gluer</t>
  </si>
  <si>
    <t>Cartons/Hour</t>
  </si>
  <si>
    <t>Power</t>
  </si>
  <si>
    <t>Consumption</t>
  </si>
  <si>
    <t xml:space="preserve">  Main</t>
  </si>
  <si>
    <t>KWH</t>
  </si>
  <si>
    <t>Unison</t>
  </si>
  <si>
    <t>Hot Foil Machine</t>
  </si>
  <si>
    <t>Lamination Machine</t>
  </si>
  <si>
    <t>Bobst Mastercut</t>
  </si>
  <si>
    <t>Bobst Masterfold</t>
  </si>
  <si>
    <t xml:space="preserve">  Ancilliary</t>
  </si>
  <si>
    <t xml:space="preserve">  Total</t>
  </si>
  <si>
    <t>Actual usage</t>
  </si>
  <si>
    <t>Running Load</t>
  </si>
  <si>
    <t xml:space="preserve">Printing Working </t>
  </si>
  <si>
    <t>Spot Varnish Working</t>
  </si>
  <si>
    <t>Hot Foiling Working</t>
  </si>
  <si>
    <t xml:space="preserve">Lamination Working </t>
  </si>
  <si>
    <t>Creasing &amp; Blanking Working</t>
  </si>
  <si>
    <t>Folder-Gluer Working</t>
  </si>
  <si>
    <t>Total Working</t>
  </si>
  <si>
    <t>Electricity Cost / Annum</t>
  </si>
  <si>
    <t>Direct Manpower</t>
  </si>
  <si>
    <t>Indirect Conversion Cost</t>
  </si>
  <si>
    <t>RM Inventory</t>
  </si>
  <si>
    <t>Silo Size</t>
  </si>
  <si>
    <t>No of Sheets required in Stock</t>
  </si>
  <si>
    <t>No of Sheets Per Pallet</t>
  </si>
  <si>
    <t>No of Pallets Stored</t>
  </si>
  <si>
    <t>Area Required + Gang ways</t>
  </si>
  <si>
    <t>Area required for RM inventory</t>
  </si>
  <si>
    <t xml:space="preserve">For FG Holding Cost Purpose only </t>
  </si>
  <si>
    <t>FG Inventory</t>
  </si>
  <si>
    <t>Rack Size (LxDxH)</t>
  </si>
  <si>
    <t>Mtrs</t>
  </si>
  <si>
    <t xml:space="preserve"> 2.5x1x6</t>
  </si>
  <si>
    <t>Boxes per Pallet</t>
  </si>
  <si>
    <t>No of stacks on pallet  rack</t>
  </si>
  <si>
    <t>Total boxes per rack height</t>
  </si>
  <si>
    <t>Rack Size + Gangway</t>
  </si>
  <si>
    <t>Cartons per box</t>
  </si>
  <si>
    <t>Components per rack vertically</t>
  </si>
  <si>
    <t>Total FG Inventory (pcs)</t>
  </si>
  <si>
    <t>Area required for FG Inventory</t>
  </si>
  <si>
    <t>Total area required for inventory</t>
  </si>
  <si>
    <t>Manpower</t>
  </si>
  <si>
    <t>Hot Foil Stamping</t>
  </si>
  <si>
    <t>Floder Gluer</t>
  </si>
  <si>
    <t>Annual Salary</t>
  </si>
  <si>
    <t>Cost</t>
  </si>
  <si>
    <t>No of Machines</t>
  </si>
  <si>
    <t>Direct Labour</t>
  </si>
  <si>
    <t>Material Handler</t>
  </si>
  <si>
    <t>Direct Manpower Cost</t>
  </si>
  <si>
    <t>Indirect Labour</t>
  </si>
  <si>
    <t>Spare Parts &amp; Stores</t>
  </si>
  <si>
    <t>HR &amp; Admin</t>
  </si>
  <si>
    <t>IT Support</t>
  </si>
  <si>
    <t>Procurement</t>
  </si>
  <si>
    <t>Logistics Manager</t>
  </si>
  <si>
    <t>Safety Manager</t>
  </si>
  <si>
    <t>Safety Asst</t>
  </si>
  <si>
    <t>** 1 Assistant for Tool room; 2 shifts only</t>
  </si>
  <si>
    <t>Quality Manager</t>
  </si>
  <si>
    <t>Asst Quality Manager</t>
  </si>
  <si>
    <t>** 1 Quality Manager for Tool room; 2 shifts only</t>
  </si>
  <si>
    <t>Security</t>
  </si>
  <si>
    <t>** 3 per shift</t>
  </si>
  <si>
    <t>Housekeeping</t>
  </si>
  <si>
    <t>Mover &amp; Loader</t>
  </si>
  <si>
    <t>General Manager</t>
  </si>
  <si>
    <t>Indirect Manpower Total</t>
  </si>
  <si>
    <t>Indirect Manpower Cost Allocation</t>
  </si>
  <si>
    <t>Common Investment</t>
  </si>
  <si>
    <t>Land Area</t>
  </si>
  <si>
    <t>Building Area</t>
  </si>
  <si>
    <t>Auxilliary Equipment</t>
  </si>
  <si>
    <t>Depreciation on Building &amp; Ancilliary</t>
  </si>
  <si>
    <t>Indirect Manpower</t>
  </si>
  <si>
    <t>Total Common Cost</t>
  </si>
  <si>
    <t>Indirect Costs</t>
  </si>
  <si>
    <t xml:space="preserve">Packing </t>
  </si>
  <si>
    <t>Shipper Cost</t>
  </si>
  <si>
    <t>Polybag Cost</t>
  </si>
  <si>
    <t>Pallet Cost</t>
  </si>
  <si>
    <t>Total Packing Cost</t>
  </si>
  <si>
    <t>Delivery</t>
  </si>
  <si>
    <t>Cartons per Container</t>
  </si>
  <si>
    <t>Freight cost</t>
  </si>
  <si>
    <t>Delivery Cost</t>
  </si>
  <si>
    <t>Net cash gap</t>
  </si>
  <si>
    <t>Allocation</t>
  </si>
  <si>
    <t>Folder Gluer</t>
  </si>
  <si>
    <t>Despatch</t>
  </si>
  <si>
    <t>Machine Investment</t>
  </si>
  <si>
    <t>% Machine Investment</t>
  </si>
  <si>
    <t>Direct Labour No</t>
  </si>
  <si>
    <t>% Direct Labour</t>
  </si>
  <si>
    <t>Electricity Usage</t>
  </si>
  <si>
    <t>Area</t>
  </si>
  <si>
    <t>Direct Labour cost</t>
  </si>
  <si>
    <t>Depreciation Building</t>
  </si>
  <si>
    <t>Interest on Machine</t>
  </si>
  <si>
    <t>Intrest on Land &amp; Building</t>
  </si>
  <si>
    <t>Investment Cost</t>
  </si>
  <si>
    <t>Offset Printing Machine</t>
  </si>
  <si>
    <t>Salvage Value</t>
  </si>
  <si>
    <t>Net Asset for Year 1</t>
  </si>
  <si>
    <t>Depreciation for Year 1</t>
  </si>
  <si>
    <t>Net Asset for Year 2</t>
  </si>
  <si>
    <t>Depreciation for Year 2</t>
  </si>
  <si>
    <t>Net Asset for Year 3</t>
  </si>
  <si>
    <t>Depreciation for Year 3</t>
  </si>
  <si>
    <t>Net Asset for Year 4</t>
  </si>
  <si>
    <t>Depreciation for Year 4</t>
  </si>
  <si>
    <t>Net Asset for Year 5</t>
  </si>
  <si>
    <t>Depreciation for Year 5</t>
  </si>
  <si>
    <t>Net Asset for Year 6</t>
  </si>
  <si>
    <t>Depreciation for Year 6</t>
  </si>
  <si>
    <t>Net Asset for Year 7</t>
  </si>
  <si>
    <t>Depreciation for Year 7</t>
  </si>
  <si>
    <t>Net Asset for Year 8</t>
  </si>
  <si>
    <t>Depreciation for Year 8</t>
  </si>
  <si>
    <t>Net Asset for Year 9</t>
  </si>
  <si>
    <t>Depreciation for Year 9</t>
  </si>
  <si>
    <t>Net Asset for Year 10</t>
  </si>
  <si>
    <t>Depreciation for Year 10</t>
  </si>
  <si>
    <t>Net Asset for Year 11</t>
  </si>
  <si>
    <t>Depreciation for Year 11</t>
  </si>
  <si>
    <t>Net Asset for Year 12</t>
  </si>
  <si>
    <t>Depreciation for Year 12</t>
  </si>
  <si>
    <t>Net Asset for Year 13</t>
  </si>
  <si>
    <t>Depreciation for Year 13</t>
  </si>
  <si>
    <t>Net Asset for Year 14</t>
  </si>
  <si>
    <t>Depreciation for Year 14</t>
  </si>
  <si>
    <t>Net Asset for Year 15</t>
  </si>
  <si>
    <t>Depreciation for Year 15</t>
  </si>
  <si>
    <t>Interest Schedule - Main</t>
  </si>
  <si>
    <t>Investment</t>
  </si>
  <si>
    <t>Loan Tenure</t>
  </si>
  <si>
    <t>No of Payments / Year</t>
  </si>
  <si>
    <t>EMI</t>
  </si>
  <si>
    <t>Beginning Balance</t>
  </si>
  <si>
    <t>Principal</t>
  </si>
  <si>
    <t>Ending Balance</t>
  </si>
  <si>
    <t>Depreciation Schedule - Building &amp; Ancilliary</t>
  </si>
  <si>
    <t>Common Cost</t>
  </si>
  <si>
    <t>Interest Schedule - Building &amp; Ancilliary</t>
  </si>
  <si>
    <t>Facility Area</t>
  </si>
  <si>
    <t>Purpose</t>
  </si>
  <si>
    <t>IMM Production Hall</t>
  </si>
  <si>
    <t>Includes gangways &amp; buffer zones</t>
  </si>
  <si>
    <t>Raw Material Storage</t>
  </si>
  <si>
    <t>Silo + bag storage, covered with material loaders, fire safety</t>
  </si>
  <si>
    <t>Finished Goods Warehouse</t>
  </si>
  <si>
    <t>3–5 days buffer stock, stacked pallets, racking possible</t>
  </si>
  <si>
    <t>QA, Testing &amp; Lab</t>
  </si>
  <si>
    <t>QC, testing, documentation</t>
  </si>
  <si>
    <t>Maintenance + Utility Block</t>
  </si>
  <si>
    <t>Compressor, pump room, electrical panels, workshop</t>
  </si>
  <si>
    <t>Office/Admin Block</t>
  </si>
  <si>
    <t>Planning, HR, finance, customer service, etc.</t>
  </si>
  <si>
    <t>Canteen &amp; Washrooms</t>
  </si>
  <si>
    <t>Based on workforce (~150–200 people)</t>
  </si>
  <si>
    <t>Loading/Unloading Bays</t>
  </si>
  <si>
    <t>5 Bays - Dock-level bays for raw/finished goods</t>
  </si>
  <si>
    <t>Future Expansion</t>
  </si>
  <si>
    <t>Total Built Up Area</t>
  </si>
  <si>
    <t>FSI</t>
  </si>
  <si>
    <t>Machine Details</t>
  </si>
  <si>
    <t>Cost Per Machine €</t>
  </si>
  <si>
    <t>Line Speed (Sheets/ Hour)</t>
  </si>
  <si>
    <t>Power Consumption (KwH)</t>
  </si>
  <si>
    <t>Hours Utilised</t>
  </si>
  <si>
    <t>No of Machines Required</t>
  </si>
  <si>
    <t>Machine Footprint SQM</t>
  </si>
  <si>
    <t>List of Ancilliary Equipments</t>
  </si>
  <si>
    <t>EUR</t>
  </si>
  <si>
    <t>Chiller System (Centralized)</t>
  </si>
  <si>
    <t>900–1000 TR with piping, pumps, tanks</t>
  </si>
  <si>
    <t>Air Compressors &amp; Air Network</t>
  </si>
  <si>
    <t>3–4 screw compressors (100 HP each), dryers, receivers</t>
  </si>
  <si>
    <t>Mould Temperature Controllers (MTC)</t>
  </si>
  <si>
    <t>1 per machine, 12–24 kW</t>
  </si>
  <si>
    <t>Material Dryers &amp; Dehumidifiers</t>
  </si>
  <si>
    <t>1 per machine</t>
  </si>
  <si>
    <t>Chilled Water Storage Tanks &amp; Pumps</t>
  </si>
  <si>
    <t>50–60 m³ + pump skid</t>
  </si>
  <si>
    <t>ETP/STP Plant (50–75 KLD)</t>
  </si>
  <si>
    <t>Water treatment + neutralization + reuse</t>
  </si>
  <si>
    <t>DG Sets (2 × 750 kVA)</t>
  </si>
  <si>
    <t>Diesel gensets with AMF &amp; cabling</t>
  </si>
  <si>
    <t>Electrical Infrastructure (Transformers, Panels)</t>
  </si>
  <si>
    <t>3 MW load, panels, busbars, cabling</t>
  </si>
  <si>
    <t>Material Handling (Conveyors, Cranes, Trolleys)</t>
  </si>
  <si>
    <t>5 T overhead + 3 T gantry + pallet handling</t>
  </si>
  <si>
    <t>Tool Room &amp; Maintenance Setup</t>
  </si>
  <si>
    <t>Lathe, grinder, polishing, hydraulic press, tool benches</t>
  </si>
  <si>
    <t>QA &amp; Lab Equipment</t>
  </si>
  <si>
    <t>Moisture analyzer, colorimeter, tensile tester, etc.</t>
  </si>
  <si>
    <t>Firefighting &amp; Safety Systems</t>
  </si>
  <si>
    <t>Hydrant + extinguishers + sprinklers + sensors</t>
  </si>
  <si>
    <t>Admin &amp; IT Systems</t>
  </si>
  <si>
    <t>CCTV, servers, networking, furniture</t>
  </si>
  <si>
    <t>Miscellaneous &amp; Installation</t>
  </si>
  <si>
    <t>Cabling, supports, commissioning, etc. (≈10%)</t>
  </si>
  <si>
    <t>Contigencies</t>
  </si>
  <si>
    <t>~ 10%</t>
  </si>
  <si>
    <t>Auxiliary Equipment</t>
  </si>
  <si>
    <t>Type of Container</t>
  </si>
  <si>
    <t>Euro Pallet - Single Stack</t>
  </si>
  <si>
    <t>Euro Pallet - Double Stack</t>
  </si>
  <si>
    <t>Standard Pallet - Single Stack</t>
  </si>
  <si>
    <t>Standard Pallet - Double Stack</t>
  </si>
  <si>
    <t>19 Feet</t>
  </si>
  <si>
    <t>22 feet / 24 feet</t>
  </si>
  <si>
    <t>26 feet</t>
  </si>
  <si>
    <t>32 feet</t>
  </si>
  <si>
    <t>20 Feet Container</t>
  </si>
  <si>
    <t>40 Feet Container</t>
  </si>
  <si>
    <t>Type of Pallet</t>
  </si>
  <si>
    <t>Mach+Col</t>
  </si>
  <si>
    <t>Changeover time (min)</t>
  </si>
  <si>
    <t>Time required for Registration &amp; Shade matching (mins)</t>
  </si>
  <si>
    <t>Bob St</t>
  </si>
  <si>
    <t>Printing Type</t>
  </si>
  <si>
    <t>Max Width</t>
  </si>
  <si>
    <t>Max Length</t>
  </si>
  <si>
    <t>VI</t>
  </si>
  <si>
    <t>VIB</t>
  </si>
  <si>
    <t>Short</t>
  </si>
  <si>
    <t>% of Conversion Cost</t>
  </si>
  <si>
    <t>% of Material &amp; Conversion Cost</t>
  </si>
  <si>
    <t>Selection</t>
  </si>
  <si>
    <t>Y</t>
  </si>
  <si>
    <t>Assumption- Area of land (SQM)</t>
  </si>
  <si>
    <t>Type of Varnish</t>
  </si>
  <si>
    <t>AQ varnish</t>
  </si>
  <si>
    <t>AQ varnish (METPET)</t>
  </si>
  <si>
    <t>AQ varnish (Antifreeze)</t>
  </si>
  <si>
    <t>UV Varnish (Matt)</t>
  </si>
  <si>
    <t>UV Varnish (Soft Touch)</t>
  </si>
  <si>
    <t>UV Texture</t>
  </si>
  <si>
    <t>Base Coat for Met Pet UV</t>
  </si>
  <si>
    <t>per piece</t>
  </si>
  <si>
    <t>Labour Annual salaries (CTC)</t>
  </si>
  <si>
    <t>Utilities</t>
  </si>
  <si>
    <t>Rates</t>
  </si>
  <si>
    <t>Currency</t>
  </si>
  <si>
    <t>Manager</t>
  </si>
  <si>
    <t>Supervisor</t>
  </si>
  <si>
    <t>Operator</t>
  </si>
  <si>
    <t>Electricity Rate (per kWh)</t>
  </si>
  <si>
    <t>Borrowing rate (%)</t>
  </si>
  <si>
    <t>Exchange rate with Euro</t>
  </si>
  <si>
    <t>Exchange rate with USD</t>
  </si>
  <si>
    <t>Land Cost per Sq Mt</t>
  </si>
  <si>
    <t>Building Cost per Sq Mt</t>
  </si>
  <si>
    <t>Lease Cost per Sq Mt</t>
  </si>
  <si>
    <t>Vietnamese Dong</t>
  </si>
  <si>
    <t>VND</t>
  </si>
  <si>
    <t>Philippines</t>
  </si>
  <si>
    <t>Philippines Pesos</t>
  </si>
  <si>
    <t>PHP</t>
  </si>
  <si>
    <t>China</t>
  </si>
  <si>
    <t>Chinese Yuan</t>
  </si>
  <si>
    <t>CNY</t>
  </si>
  <si>
    <t>INR</t>
  </si>
  <si>
    <t>kWH</t>
  </si>
  <si>
    <t>per sqm</t>
  </si>
  <si>
    <t>KM</t>
  </si>
  <si>
    <t>United Kingdom</t>
  </si>
  <si>
    <t>British Pounds</t>
  </si>
  <si>
    <t>GBP</t>
  </si>
  <si>
    <t>Brazil</t>
  </si>
  <si>
    <t>Brazilian Reals</t>
  </si>
  <si>
    <t>BRL</t>
  </si>
  <si>
    <t>United States</t>
  </si>
  <si>
    <t>U.S. Dollars</t>
  </si>
  <si>
    <t>Indonesia</t>
  </si>
  <si>
    <t>Indonesian Rupiah</t>
  </si>
  <si>
    <t>IDR</t>
  </si>
  <si>
    <t>Argentina</t>
  </si>
  <si>
    <t>Argentinian Pesos</t>
  </si>
  <si>
    <t>ARS</t>
  </si>
  <si>
    <t>Turkey</t>
  </si>
  <si>
    <t>Turkish Lira</t>
  </si>
  <si>
    <t>TRY</t>
  </si>
  <si>
    <t>Pakistan</t>
  </si>
  <si>
    <t>Pakistani Rupees</t>
  </si>
  <si>
    <t>PKR</t>
  </si>
  <si>
    <t>Germany</t>
  </si>
  <si>
    <t xml:space="preserve">Euros </t>
  </si>
  <si>
    <t>Hungary</t>
  </si>
  <si>
    <t>Hungarian Forints</t>
  </si>
  <si>
    <t>HUF</t>
  </si>
  <si>
    <t>France</t>
  </si>
  <si>
    <t>South Africa</t>
  </si>
  <si>
    <t>South African Rand</t>
  </si>
  <si>
    <t>ZAR</t>
  </si>
  <si>
    <t>Mexico</t>
  </si>
  <si>
    <t>Mexican Pesos</t>
  </si>
  <si>
    <t>MXN</t>
  </si>
  <si>
    <t>India</t>
  </si>
  <si>
    <t>Indian Rupees</t>
  </si>
  <si>
    <t>Total Wastage</t>
  </si>
  <si>
    <t>Actual Working Hours</t>
  </si>
  <si>
    <t>Ancilliary</t>
  </si>
  <si>
    <t>Kgs/1000 Cartons</t>
  </si>
  <si>
    <t>Warehouse</t>
  </si>
  <si>
    <t>CTP Room</t>
  </si>
  <si>
    <t>For Pre printing Purpose</t>
  </si>
  <si>
    <t>Interest on Building</t>
  </si>
  <si>
    <t>Heidelberg Speedmaster SM 52</t>
  </si>
  <si>
    <t>Heidelberg Speedmaster SM 74 / XL 75</t>
  </si>
  <si>
    <t>Heidelberg Speedmaster SM 102 / XL 106</t>
  </si>
  <si>
    <t>KBA Rapida 75</t>
  </si>
  <si>
    <t>KBA Rapida 106</t>
  </si>
  <si>
    <t>Komori Lithrone G / GL series</t>
  </si>
  <si>
    <t>Manroland R700 series</t>
  </si>
  <si>
    <t>Manroland R900 series</t>
  </si>
  <si>
    <t>Mitsubishi Diamond / high-quality sheetfed</t>
  </si>
  <si>
    <t xml:space="preserve">MGI JETvarnish 3D	</t>
  </si>
  <si>
    <t xml:space="preserve">Scodix Scodix Ultra / Scodix SENSE	</t>
  </si>
  <si>
    <t xml:space="preserve">Heidelberg Speedmaster	</t>
  </si>
  <si>
    <t>Komori</t>
  </si>
  <si>
    <t xml:space="preserve">KBA Rapida	</t>
  </si>
  <si>
    <t>Bobst</t>
  </si>
  <si>
    <t>2,00,000</t>
  </si>
  <si>
    <t>Kompac KwikPrint / EZ Koat</t>
  </si>
  <si>
    <t xml:space="preserve">Billhöfer Eco 66, Eco 76, Eco	</t>
  </si>
  <si>
    <t>Lamina Lamina Blackline, SA, FA, FA Blackline</t>
  </si>
  <si>
    <t>Tunkers Variowell / Sheetmaster</t>
  </si>
  <si>
    <t>Billhöfer Wet-Lam series</t>
  </si>
  <si>
    <t>JMD Machinery FMZ Series</t>
  </si>
  <si>
    <t>Hongming HM Series</t>
  </si>
  <si>
    <t>Jiawei JW Series</t>
  </si>
  <si>
    <t>Wanlian Machinery WL Series</t>
  </si>
  <si>
    <t>Jialite YFML Series</t>
  </si>
  <si>
    <t>Masterwork (China) Ecocut 170CS</t>
  </si>
  <si>
    <t>Printing Machine</t>
  </si>
  <si>
    <t xml:space="preserve">Printing </t>
  </si>
  <si>
    <t>Spot Varnish Machine</t>
  </si>
  <si>
    <t>Hot Foiling Machine</t>
  </si>
  <si>
    <t>Creasing &amp; Blanking Machine</t>
  </si>
  <si>
    <t>Folder - Gluer Machine</t>
  </si>
  <si>
    <t>Film Consumption</t>
  </si>
  <si>
    <t>Window Carton</t>
  </si>
  <si>
    <t>Medium automatic window patcher</t>
  </si>
  <si>
    <t>Window Patching</t>
  </si>
  <si>
    <t>Decoration Details</t>
  </si>
  <si>
    <t>Window Patching Machine</t>
  </si>
  <si>
    <t>Per Kg</t>
  </si>
  <si>
    <t>Window - Width</t>
  </si>
  <si>
    <t>Window - Length</t>
  </si>
  <si>
    <t>Decoration</t>
  </si>
  <si>
    <t>Window Film GSM</t>
  </si>
  <si>
    <t>micron</t>
  </si>
  <si>
    <t>Film micron</t>
  </si>
  <si>
    <t>Window Film micron</t>
  </si>
  <si>
    <t>Met Pet Film 12 micron</t>
  </si>
  <si>
    <t>Actual KW Consumed</t>
  </si>
  <si>
    <t>KW</t>
  </si>
  <si>
    <t>Electricity Consumption</t>
  </si>
  <si>
    <t>Interlock Value</t>
  </si>
  <si>
    <t>Nov25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</si>
</sst>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_(* #,##0.00_);_(* \(#,##0.00\);_(* &quot;-&quot;??_);_(@_)"/>
    <numFmt numFmtId="165" formatCode="_ * #,##0.0_ ;_ * \-#,##0.0_ ;_ * &quot;-&quot;??_ ;_ @_ "/>
    <numFmt numFmtId="166" formatCode="_ * #,##0_ ;_ * \-#,##0_ ;_ * &quot;-&quot;??_ ;_ @_ "/>
    <numFmt numFmtId="167" formatCode="0.0%"/>
    <numFmt numFmtId="168" formatCode="0.0"/>
    <numFmt numFmtId="169" formatCode="_(* #,##0.0_);_(* \(#,##0.0\);_(* &quot;-&quot;??_);_(@_)"/>
    <numFmt numFmtId="170" formatCode="_ * #,##0.0_ ;_ * \-#,##0.0_ ;_ * &quot;-&quot;?_ ;_ @_ "/>
  </numFmts>
  <fonts count="21" x14ac:knownFonts="1">
    <font>
      <sz val="9"/>
      <color theme="1"/>
      <name val="Calibri"/>
      <family val="2"/>
    </font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sz val="9"/>
      <color theme="0"/>
      <name val="Calibri"/>
      <family val="2"/>
    </font>
    <font>
      <b/>
      <i/>
      <sz val="9"/>
      <color rgb="FF0070C0"/>
      <name val="Calibri"/>
      <family val="2"/>
    </font>
    <font>
      <sz val="9"/>
      <color indexed="81"/>
      <name val="Tahoma"/>
      <family val="2"/>
    </font>
    <font>
      <sz val="9"/>
      <color rgb="FF000000"/>
      <name val="Calibri"/>
      <family val="2"/>
    </font>
    <font>
      <u/>
      <sz val="9"/>
      <color theme="1"/>
      <name val="Calibri"/>
      <family val="2"/>
    </font>
    <font>
      <b/>
      <sz val="9"/>
      <color theme="1"/>
      <name val="Calibri"/>
      <family val="2"/>
    </font>
    <font>
      <b/>
      <u/>
      <sz val="9"/>
      <color theme="1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i/>
      <sz val="9"/>
      <color theme="0"/>
      <name val="Calibri"/>
      <family val="2"/>
    </font>
    <font>
      <sz val="10"/>
      <color theme="1"/>
      <name val="Calibri"/>
      <family val="2"/>
    </font>
    <font>
      <sz val="9"/>
      <color rgb="FFFF0000"/>
      <name val="Calibri"/>
      <family val="2"/>
    </font>
    <font>
      <b/>
      <i/>
      <sz val="9"/>
      <color theme="4"/>
      <name val="Calibri"/>
      <family val="2"/>
    </font>
    <font>
      <i/>
      <sz val="9"/>
      <color rgb="FF0070C0"/>
      <name val="Calibri"/>
      <family val="2"/>
    </font>
    <font>
      <sz val="9"/>
      <color rgb="FFFFFFFF"/>
      <name val="Calibri"/>
      <family val="2"/>
    </font>
    <font>
      <b/>
      <sz val="9"/>
      <color rgb="FF000000"/>
      <name val="Calibri"/>
      <family val="2"/>
    </font>
    <font>
      <sz val="11"/>
      <color rgb="FFFF0000"/>
      <name val="Aptos Narrow"/>
      <family val="2"/>
      <scheme val="minor"/>
    </font>
    <font>
      <i/>
      <sz val="9"/>
      <color rgb="FFFF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226">
    <xf numFmtId="0" fontId="0" fillId="0" borderId="0" xfId="0"/>
    <xf numFmtId="0" fontId="3" fillId="0" borderId="0" xfId="0" applyFont="1"/>
    <xf numFmtId="0" fontId="7" fillId="0" borderId="1" xfId="0" applyFont="1" applyBorder="1"/>
    <xf numFmtId="0" fontId="0" fillId="0" borderId="1" xfId="0" applyBorder="1"/>
    <xf numFmtId="0" fontId="8" fillId="0" borderId="1" xfId="0" applyFont="1" applyBorder="1"/>
    <xf numFmtId="0" fontId="9" fillId="0" borderId="1" xfId="0" applyFont="1" applyBorder="1"/>
    <xf numFmtId="0" fontId="8" fillId="7" borderId="1" xfId="0" applyFont="1" applyFill="1" applyBorder="1"/>
    <xf numFmtId="0" fontId="8" fillId="7" borderId="1" xfId="0" applyFont="1" applyFill="1" applyBorder="1" applyAlignment="1">
      <alignment vertical="center" wrapText="1"/>
    </xf>
    <xf numFmtId="165" fontId="0" fillId="2" borderId="1" xfId="1" applyNumberFormat="1" applyFont="1" applyFill="1" applyBorder="1"/>
    <xf numFmtId="166" fontId="0" fillId="2" borderId="1" xfId="1" applyNumberFormat="1" applyFont="1" applyFill="1" applyBorder="1"/>
    <xf numFmtId="0" fontId="9" fillId="0" borderId="0" xfId="0" applyFont="1"/>
    <xf numFmtId="0" fontId="8" fillId="7" borderId="1" xfId="0" applyFont="1" applyFill="1" applyBorder="1" applyAlignment="1">
      <alignment horizontal="center"/>
    </xf>
    <xf numFmtId="0" fontId="8" fillId="0" borderId="0" xfId="0" applyFont="1"/>
    <xf numFmtId="0" fontId="8" fillId="7" borderId="3" xfId="0" applyFont="1" applyFill="1" applyBorder="1"/>
    <xf numFmtId="165" fontId="8" fillId="2" borderId="1" xfId="1" applyNumberFormat="1" applyFont="1" applyFill="1" applyBorder="1"/>
    <xf numFmtId="9" fontId="8" fillId="2" borderId="1" xfId="0" applyNumberFormat="1" applyFont="1" applyFill="1" applyBorder="1"/>
    <xf numFmtId="0" fontId="10" fillId="0" borderId="0" xfId="0" applyFont="1"/>
    <xf numFmtId="0" fontId="11" fillId="0" borderId="0" xfId="0" applyFont="1"/>
    <xf numFmtId="0" fontId="10" fillId="7" borderId="1" xfId="0" applyFont="1" applyFill="1" applyBorder="1" applyAlignment="1">
      <alignment horizontal="center"/>
    </xf>
    <xf numFmtId="0" fontId="11" fillId="0" borderId="1" xfId="0" applyFont="1" applyBorder="1"/>
    <xf numFmtId="165" fontId="11" fillId="2" borderId="1" xfId="1" applyNumberFormat="1" applyFont="1" applyFill="1" applyBorder="1"/>
    <xf numFmtId="165" fontId="11" fillId="0" borderId="0" xfId="1" applyNumberFormat="1" applyFont="1" applyFill="1" applyBorder="1"/>
    <xf numFmtId="0" fontId="10" fillId="0" borderId="1" xfId="0" applyFont="1" applyBorder="1"/>
    <xf numFmtId="165" fontId="10" fillId="2" borderId="1" xfId="1" applyNumberFormat="1" applyFont="1" applyFill="1" applyBorder="1"/>
    <xf numFmtId="0" fontId="10" fillId="7" borderId="1" xfId="0" applyFont="1" applyFill="1" applyBorder="1"/>
    <xf numFmtId="0" fontId="2" fillId="0" borderId="0" xfId="0" applyFont="1"/>
    <xf numFmtId="0" fontId="6" fillId="0" borderId="1" xfId="0" applyFont="1" applyBorder="1"/>
    <xf numFmtId="0" fontId="0" fillId="0" borderId="2" xfId="3" applyFont="1" applyBorder="1"/>
    <xf numFmtId="166" fontId="8" fillId="7" borderId="1" xfId="0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left"/>
    </xf>
    <xf numFmtId="166" fontId="3" fillId="0" borderId="0" xfId="0" applyNumberFormat="1" applyFont="1"/>
    <xf numFmtId="165" fontId="0" fillId="0" borderId="1" xfId="1" applyNumberFormat="1" applyFont="1" applyFill="1" applyBorder="1"/>
    <xf numFmtId="0" fontId="0" fillId="6" borderId="1" xfId="0" applyFill="1" applyBorder="1"/>
    <xf numFmtId="166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166" fontId="0" fillId="0" borderId="1" xfId="0" applyNumberFormat="1" applyBorder="1"/>
    <xf numFmtId="43" fontId="0" fillId="0" borderId="0" xfId="0" applyNumberFormat="1"/>
    <xf numFmtId="0" fontId="0" fillId="0" borderId="1" xfId="0" applyBorder="1" applyAlignment="1">
      <alignment horizontal="left"/>
    </xf>
    <xf numFmtId="166" fontId="0" fillId="2" borderId="1" xfId="1" applyNumberFormat="1" applyFont="1" applyFill="1" applyBorder="1" applyAlignment="1">
      <alignment horizontal="right"/>
    </xf>
    <xf numFmtId="0" fontId="0" fillId="2" borderId="1" xfId="0" applyFill="1" applyBorder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4" fillId="0" borderId="1" xfId="0" applyFont="1" applyBorder="1"/>
    <xf numFmtId="0" fontId="12" fillId="0" borderId="1" xfId="0" applyFont="1" applyBorder="1"/>
    <xf numFmtId="0" fontId="13" fillId="0" borderId="0" xfId="3" applyFont="1"/>
    <xf numFmtId="43" fontId="0" fillId="2" borderId="1" xfId="0" applyNumberFormat="1" applyFill="1" applyBorder="1"/>
    <xf numFmtId="165" fontId="0" fillId="5" borderId="1" xfId="1" applyNumberFormat="1" applyFont="1" applyFill="1" applyBorder="1" applyAlignment="1">
      <alignment horizontal="right"/>
    </xf>
    <xf numFmtId="166" fontId="10" fillId="0" borderId="1" xfId="0" applyNumberFormat="1" applyFont="1" applyBorder="1"/>
    <xf numFmtId="166" fontId="11" fillId="0" borderId="1" xfId="0" applyNumberFormat="1" applyFont="1" applyBorder="1"/>
    <xf numFmtId="166" fontId="11" fillId="2" borderId="1" xfId="0" applyNumberFormat="1" applyFont="1" applyFill="1" applyBorder="1"/>
    <xf numFmtId="0" fontId="11" fillId="2" borderId="1" xfId="0" applyFont="1" applyFill="1" applyBorder="1"/>
    <xf numFmtId="9" fontId="11" fillId="2" borderId="1" xfId="2" applyFont="1" applyFill="1" applyBorder="1"/>
    <xf numFmtId="43" fontId="11" fillId="2" borderId="1" xfId="0" applyNumberFormat="1" applyFont="1" applyFill="1" applyBorder="1"/>
    <xf numFmtId="2" fontId="11" fillId="2" borderId="1" xfId="2" applyNumberFormat="1" applyFont="1" applyFill="1" applyBorder="1"/>
    <xf numFmtId="165" fontId="11" fillId="2" borderId="1" xfId="0" applyNumberFormat="1" applyFont="1" applyFill="1" applyBorder="1"/>
    <xf numFmtId="43" fontId="0" fillId="2" borderId="1" xfId="1" applyFont="1" applyFill="1" applyBorder="1"/>
    <xf numFmtId="0" fontId="15" fillId="0" borderId="0" xfId="0" applyFont="1"/>
    <xf numFmtId="0" fontId="8" fillId="4" borderId="2" xfId="0" applyFont="1" applyFill="1" applyBorder="1" applyAlignment="1">
      <alignment horizontal="center" vertical="center"/>
    </xf>
    <xf numFmtId="0" fontId="0" fillId="0" borderId="2" xfId="0" applyBorder="1"/>
    <xf numFmtId="0" fontId="14" fillId="0" borderId="2" xfId="0" applyFont="1" applyBorder="1"/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/>
    <xf numFmtId="0" fontId="8" fillId="2" borderId="1" xfId="0" applyFont="1" applyFill="1" applyBorder="1"/>
    <xf numFmtId="0" fontId="2" fillId="0" borderId="0" xfId="0" applyFont="1" applyAlignment="1">
      <alignment vertical="center" wrapText="1"/>
    </xf>
    <xf numFmtId="165" fontId="2" fillId="0" borderId="0" xfId="1" applyNumberFormat="1" applyFont="1" applyAlignment="1">
      <alignment horizontal="right" vertical="center" wrapText="1"/>
    </xf>
    <xf numFmtId="0" fontId="2" fillId="0" borderId="0" xfId="3" applyFont="1"/>
    <xf numFmtId="0" fontId="6" fillId="0" borderId="0" xfId="0" applyFont="1" applyAlignment="1">
      <alignment horizontal="right" vertical="center"/>
    </xf>
    <xf numFmtId="0" fontId="2" fillId="0" borderId="0" xfId="0" applyFont="1" applyAlignment="1">
      <alignment horizontal="left"/>
    </xf>
    <xf numFmtId="0" fontId="6" fillId="0" borderId="0" xfId="0" applyFont="1" applyAlignment="1">
      <alignment horizontal="center" vertical="center"/>
    </xf>
    <xf numFmtId="166" fontId="2" fillId="0" borderId="0" xfId="1" applyNumberFormat="1" applyFont="1" applyFill="1" applyBorder="1"/>
    <xf numFmtId="166" fontId="2" fillId="0" borderId="0" xfId="1" applyNumberFormat="1" applyFont="1" applyBorder="1"/>
    <xf numFmtId="168" fontId="2" fillId="0" borderId="0" xfId="3" applyNumberFormat="1" applyFont="1"/>
    <xf numFmtId="0" fontId="8" fillId="0" borderId="0" xfId="3" applyFont="1"/>
    <xf numFmtId="166" fontId="6" fillId="0" borderId="0" xfId="1" applyNumberFormat="1" applyFont="1" applyFill="1" applyBorder="1"/>
    <xf numFmtId="0" fontId="6" fillId="0" borderId="0" xfId="0" applyFont="1"/>
    <xf numFmtId="0" fontId="6" fillId="0" borderId="0" xfId="0" applyFont="1" applyAlignment="1">
      <alignment horizontal="center"/>
    </xf>
    <xf numFmtId="0" fontId="16" fillId="0" borderId="0" xfId="0" applyFont="1"/>
    <xf numFmtId="0" fontId="17" fillId="0" borderId="0" xfId="0" applyFont="1"/>
    <xf numFmtId="1" fontId="2" fillId="0" borderId="0" xfId="3" applyNumberFormat="1" applyFont="1"/>
    <xf numFmtId="9" fontId="6" fillId="0" borderId="0" xfId="2" applyFont="1" applyFill="1" applyBorder="1"/>
    <xf numFmtId="9" fontId="2" fillId="0" borderId="0" xfId="2" applyFont="1" applyFill="1" applyBorder="1"/>
    <xf numFmtId="0" fontId="2" fillId="0" borderId="0" xfId="0" applyFont="1" applyAlignment="1">
      <alignment horizontal="center"/>
    </xf>
    <xf numFmtId="9" fontId="6" fillId="0" borderId="0" xfId="0" applyNumberFormat="1" applyFont="1" applyAlignment="1">
      <alignment horizontal="center" vertical="center"/>
    </xf>
    <xf numFmtId="0" fontId="2" fillId="6" borderId="0" xfId="0" applyFont="1" applyFill="1"/>
    <xf numFmtId="0" fontId="0" fillId="2" borderId="2" xfId="0" applyFill="1" applyBorder="1"/>
    <xf numFmtId="43" fontId="0" fillId="2" borderId="2" xfId="0" applyNumberFormat="1" applyFill="1" applyBorder="1"/>
    <xf numFmtId="43" fontId="11" fillId="0" borderId="0" xfId="0" applyNumberFormat="1" applyFont="1"/>
    <xf numFmtId="9" fontId="6" fillId="6" borderId="0" xfId="0" applyNumberFormat="1" applyFont="1" applyFill="1" applyAlignment="1">
      <alignment horizontal="center" vertical="center"/>
    </xf>
    <xf numFmtId="17" fontId="6" fillId="0" borderId="0" xfId="0" quotePrefix="1" applyNumberFormat="1" applyFont="1" applyAlignment="1">
      <alignment horizontal="right" vertical="center"/>
    </xf>
    <xf numFmtId="165" fontId="0" fillId="0" borderId="0" xfId="1" applyNumberFormat="1" applyFont="1"/>
    <xf numFmtId="0" fontId="6" fillId="2" borderId="0" xfId="0" applyFont="1" applyFill="1" applyAlignment="1">
      <alignment horizontal="right" vertical="center"/>
    </xf>
    <xf numFmtId="0" fontId="0" fillId="7" borderId="1" xfId="0" applyFill="1" applyBorder="1"/>
    <xf numFmtId="0" fontId="0" fillId="0" borderId="0" xfId="0" applyAlignment="1">
      <alignment vertical="center"/>
    </xf>
    <xf numFmtId="0" fontId="9" fillId="6" borderId="17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3" fontId="8" fillId="8" borderId="16" xfId="0" applyNumberFormat="1" applyFont="1" applyFill="1" applyBorder="1" applyAlignment="1">
      <alignment horizontal="center" vertical="center" wrapText="1"/>
    </xf>
    <xf numFmtId="43" fontId="8" fillId="6" borderId="16" xfId="1" applyFont="1" applyFill="1" applyBorder="1" applyAlignment="1">
      <alignment horizontal="center" vertical="center" wrapText="1"/>
    </xf>
    <xf numFmtId="3" fontId="8" fillId="9" borderId="16" xfId="0" applyNumberFormat="1" applyFont="1" applyFill="1" applyBorder="1" applyAlignment="1">
      <alignment horizontal="center" vertical="center" wrapText="1"/>
    </xf>
    <xf numFmtId="3" fontId="8" fillId="10" borderId="16" xfId="0" applyNumberFormat="1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wrapText="1"/>
    </xf>
    <xf numFmtId="167" fontId="6" fillId="2" borderId="0" xfId="2" applyNumberFormat="1" applyFont="1" applyFill="1" applyBorder="1"/>
    <xf numFmtId="165" fontId="6" fillId="6" borderId="0" xfId="1" applyNumberFormat="1" applyFont="1" applyFill="1" applyAlignment="1">
      <alignment horizontal="center" vertical="center"/>
    </xf>
    <xf numFmtId="165" fontId="0" fillId="0" borderId="2" xfId="1" applyNumberFormat="1" applyFont="1" applyBorder="1"/>
    <xf numFmtId="167" fontId="0" fillId="0" borderId="2" xfId="2" applyNumberFormat="1" applyFont="1" applyBorder="1"/>
    <xf numFmtId="169" fontId="0" fillId="0" borderId="2" xfId="0" applyNumberFormat="1" applyBorder="1"/>
    <xf numFmtId="165" fontId="0" fillId="0" borderId="2" xfId="1" applyNumberFormat="1" applyFont="1" applyFill="1" applyBorder="1"/>
    <xf numFmtId="168" fontId="0" fillId="0" borderId="2" xfId="0" applyNumberFormat="1" applyBorder="1"/>
    <xf numFmtId="1" fontId="0" fillId="0" borderId="2" xfId="0" applyNumberFormat="1" applyBorder="1"/>
    <xf numFmtId="0" fontId="0" fillId="0" borderId="19" xfId="0" applyBorder="1"/>
    <xf numFmtId="168" fontId="0" fillId="0" borderId="19" xfId="0" applyNumberFormat="1" applyBorder="1"/>
    <xf numFmtId="165" fontId="0" fillId="0" borderId="19" xfId="1" applyNumberFormat="1" applyFont="1" applyFill="1" applyBorder="1"/>
    <xf numFmtId="164" fontId="2" fillId="0" borderId="0" xfId="0" applyNumberFormat="1" applyFont="1"/>
    <xf numFmtId="165" fontId="6" fillId="6" borderId="0" xfId="1" applyNumberFormat="1" applyFont="1" applyFill="1" applyBorder="1"/>
    <xf numFmtId="0" fontId="9" fillId="0" borderId="0" xfId="0" applyFont="1" applyAlignment="1">
      <alignment vertical="center"/>
    </xf>
    <xf numFmtId="0" fontId="15" fillId="0" borderId="0" xfId="0" applyFont="1" applyAlignment="1">
      <alignment vertical="top" wrapText="1"/>
    </xf>
    <xf numFmtId="166" fontId="8" fillId="7" borderId="1" xfId="1" applyNumberFormat="1" applyFont="1" applyFill="1" applyBorder="1" applyAlignment="1">
      <alignment horizontal="center" wrapText="1"/>
    </xf>
    <xf numFmtId="166" fontId="8" fillId="7" borderId="1" xfId="1" applyNumberFormat="1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167" fontId="11" fillId="2" borderId="1" xfId="2" applyNumberFormat="1" applyFont="1" applyFill="1" applyBorder="1"/>
    <xf numFmtId="165" fontId="0" fillId="2" borderId="1" xfId="1" applyNumberFormat="1" applyFont="1" applyFill="1" applyBorder="1" applyAlignment="1">
      <alignment horizontal="right"/>
    </xf>
    <xf numFmtId="0" fontId="8" fillId="0" borderId="0" xfId="0" applyFont="1" applyAlignment="1">
      <alignment vertical="center" wrapText="1"/>
    </xf>
    <xf numFmtId="0" fontId="18" fillId="0" borderId="0" xfId="0" applyFont="1"/>
    <xf numFmtId="0" fontId="3" fillId="0" borderId="0" xfId="0" applyFont="1" applyAlignment="1">
      <alignment vertical="center" wrapText="1"/>
    </xf>
    <xf numFmtId="165" fontId="8" fillId="2" borderId="1" xfId="1" applyNumberFormat="1" applyFont="1" applyFill="1" applyBorder="1" applyAlignment="1">
      <alignment horizontal="right"/>
    </xf>
    <xf numFmtId="165" fontId="0" fillId="2" borderId="1" xfId="0" applyNumberFormat="1" applyFill="1" applyBorder="1" applyAlignment="1">
      <alignment horizontal="right"/>
    </xf>
    <xf numFmtId="165" fontId="11" fillId="2" borderId="1" xfId="1" applyNumberFormat="1" applyFont="1" applyFill="1" applyBorder="1" applyAlignment="1">
      <alignment horizontal="right"/>
    </xf>
    <xf numFmtId="165" fontId="0" fillId="0" borderId="0" xfId="0" applyNumberFormat="1" applyAlignment="1">
      <alignment horizontal="right"/>
    </xf>
    <xf numFmtId="165" fontId="3" fillId="0" borderId="0" xfId="0" applyNumberFormat="1" applyFont="1" applyAlignment="1">
      <alignment horizontal="right"/>
    </xf>
    <xf numFmtId="165" fontId="8" fillId="7" borderId="1" xfId="0" applyNumberFormat="1" applyFont="1" applyFill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165" fontId="8" fillId="6" borderId="1" xfId="1" applyNumberFormat="1" applyFont="1" applyFill="1" applyBorder="1" applyAlignment="1">
      <alignment horizontal="right"/>
    </xf>
    <xf numFmtId="165" fontId="0" fillId="2" borderId="1" xfId="2" applyNumberFormat="1" applyFont="1" applyFill="1" applyBorder="1" applyAlignment="1">
      <alignment horizontal="right"/>
    </xf>
    <xf numFmtId="165" fontId="0" fillId="0" borderId="1" xfId="2" applyNumberFormat="1" applyFont="1" applyBorder="1" applyAlignment="1">
      <alignment horizontal="right"/>
    </xf>
    <xf numFmtId="165" fontId="0" fillId="0" borderId="1" xfId="1" applyNumberFormat="1" applyFont="1" applyFill="1" applyBorder="1" applyAlignment="1">
      <alignment horizontal="right"/>
    </xf>
    <xf numFmtId="165" fontId="8" fillId="0" borderId="1" xfId="0" applyNumberFormat="1" applyFont="1" applyBorder="1" applyAlignment="1">
      <alignment horizontal="right"/>
    </xf>
    <xf numFmtId="165" fontId="8" fillId="7" borderId="1" xfId="1" applyNumberFormat="1" applyFont="1" applyFill="1" applyBorder="1" applyAlignment="1">
      <alignment horizontal="right"/>
    </xf>
    <xf numFmtId="165" fontId="8" fillId="0" borderId="0" xfId="0" applyNumberFormat="1" applyFont="1" applyAlignment="1">
      <alignment horizontal="right"/>
    </xf>
    <xf numFmtId="165" fontId="11" fillId="2" borderId="1" xfId="2" applyNumberFormat="1" applyFont="1" applyFill="1" applyBorder="1" applyAlignment="1">
      <alignment horizontal="right"/>
    </xf>
    <xf numFmtId="165" fontId="11" fillId="0" borderId="1" xfId="0" applyNumberFormat="1" applyFont="1" applyBorder="1" applyAlignment="1">
      <alignment horizontal="right"/>
    </xf>
    <xf numFmtId="9" fontId="0" fillId="0" borderId="2" xfId="2" applyFont="1" applyBorder="1"/>
    <xf numFmtId="165" fontId="6" fillId="2" borderId="0" xfId="1" applyNumberFormat="1" applyFont="1" applyFill="1" applyBorder="1"/>
    <xf numFmtId="1" fontId="2" fillId="0" borderId="0" xfId="3" quotePrefix="1" applyNumberFormat="1" applyFont="1"/>
    <xf numFmtId="0" fontId="2" fillId="3" borderId="4" xfId="3" applyFont="1" applyFill="1" applyBorder="1"/>
    <xf numFmtId="0" fontId="2" fillId="3" borderId="5" xfId="3" applyFont="1" applyFill="1" applyBorder="1"/>
    <xf numFmtId="0" fontId="2" fillId="3" borderId="6" xfId="3" applyFont="1" applyFill="1" applyBorder="1"/>
    <xf numFmtId="0" fontId="2" fillId="0" borderId="7" xfId="3" applyFont="1" applyBorder="1"/>
    <xf numFmtId="165" fontId="2" fillId="0" borderId="0" xfId="1" applyNumberFormat="1" applyFont="1" applyFill="1" applyBorder="1"/>
    <xf numFmtId="167" fontId="2" fillId="0" borderId="8" xfId="2" applyNumberFormat="1" applyFont="1" applyFill="1" applyBorder="1"/>
    <xf numFmtId="170" fontId="2" fillId="0" borderId="0" xfId="3" applyNumberFormat="1" applyFont="1"/>
    <xf numFmtId="0" fontId="8" fillId="0" borderId="4" xfId="3" applyFont="1" applyBorder="1"/>
    <xf numFmtId="165" fontId="8" fillId="2" borderId="5" xfId="1" applyNumberFormat="1" applyFont="1" applyFill="1" applyBorder="1"/>
    <xf numFmtId="167" fontId="8" fillId="2" borderId="6" xfId="4" applyNumberFormat="1" applyFont="1" applyFill="1" applyBorder="1"/>
    <xf numFmtId="2" fontId="2" fillId="0" borderId="0" xfId="3" applyNumberFormat="1" applyFont="1"/>
    <xf numFmtId="166" fontId="2" fillId="0" borderId="0" xfId="1" applyNumberFormat="1" applyFont="1"/>
    <xf numFmtId="165" fontId="2" fillId="0" borderId="0" xfId="1" applyNumberFormat="1" applyFont="1"/>
    <xf numFmtId="167" fontId="2" fillId="0" borderId="8" xfId="3" applyNumberFormat="1" applyFont="1" applyBorder="1"/>
    <xf numFmtId="0" fontId="7" fillId="0" borderId="7" xfId="3" applyFont="1" applyBorder="1"/>
    <xf numFmtId="165" fontId="2" fillId="2" borderId="0" xfId="1" applyNumberFormat="1" applyFont="1" applyFill="1"/>
    <xf numFmtId="167" fontId="2" fillId="2" borderId="8" xfId="2" applyNumberFormat="1" applyFont="1" applyFill="1" applyBorder="1"/>
    <xf numFmtId="166" fontId="2" fillId="0" borderId="7" xfId="1" applyNumberFormat="1" applyFont="1" applyBorder="1"/>
    <xf numFmtId="167" fontId="2" fillId="0" borderId="8" xfId="1" applyNumberFormat="1" applyFont="1" applyFill="1" applyBorder="1"/>
    <xf numFmtId="167" fontId="2" fillId="2" borderId="8" xfId="4" applyNumberFormat="1" applyFont="1" applyFill="1" applyBorder="1"/>
    <xf numFmtId="9" fontId="2" fillId="0" borderId="0" xfId="2" applyFont="1"/>
    <xf numFmtId="167" fontId="2" fillId="0" borderId="8" xfId="4" applyNumberFormat="1" applyFont="1" applyFill="1" applyBorder="1"/>
    <xf numFmtId="0" fontId="2" fillId="0" borderId="9" xfId="3" applyFont="1" applyBorder="1"/>
    <xf numFmtId="165" fontId="2" fillId="0" borderId="10" xfId="1" applyNumberFormat="1" applyFont="1" applyBorder="1"/>
    <xf numFmtId="167" fontId="2" fillId="0" borderId="11" xfId="2" applyNumberFormat="1" applyFont="1" applyFill="1" applyBorder="1"/>
    <xf numFmtId="167" fontId="2" fillId="0" borderId="0" xfId="2" applyNumberFormat="1" applyFont="1" applyBorder="1"/>
    <xf numFmtId="165" fontId="2" fillId="0" borderId="7" xfId="1" applyNumberFormat="1" applyFont="1" applyBorder="1" applyAlignment="1">
      <alignment horizontal="center"/>
    </xf>
    <xf numFmtId="165" fontId="2" fillId="0" borderId="0" xfId="1" applyNumberFormat="1" applyFont="1" applyAlignment="1">
      <alignment horizontal="center"/>
    </xf>
    <xf numFmtId="165" fontId="2" fillId="0" borderId="8" xfId="1" applyNumberFormat="1" applyFont="1" applyBorder="1" applyAlignment="1">
      <alignment horizontal="center"/>
    </xf>
    <xf numFmtId="167" fontId="2" fillId="0" borderId="0" xfId="3" applyNumberFormat="1" applyFont="1"/>
    <xf numFmtId="0" fontId="8" fillId="0" borderId="12" xfId="3" applyFont="1" applyBorder="1"/>
    <xf numFmtId="165" fontId="8" fillId="2" borderId="4" xfId="1" applyNumberFormat="1" applyFont="1" applyFill="1" applyBorder="1"/>
    <xf numFmtId="167" fontId="8" fillId="2" borderId="5" xfId="2" applyNumberFormat="1" applyFont="1" applyFill="1" applyBorder="1"/>
    <xf numFmtId="165" fontId="8" fillId="2" borderId="6" xfId="1" applyNumberFormat="1" applyFont="1" applyFill="1" applyBorder="1"/>
    <xf numFmtId="43" fontId="2" fillId="0" borderId="0" xfId="1" applyFont="1"/>
    <xf numFmtId="165" fontId="6" fillId="0" borderId="0" xfId="1" applyNumberFormat="1" applyFont="1" applyFill="1" applyBorder="1" applyAlignment="1">
      <alignment horizontal="right" vertical="center"/>
    </xf>
    <xf numFmtId="165" fontId="6" fillId="0" borderId="0" xfId="1" applyNumberFormat="1" applyFont="1"/>
    <xf numFmtId="165" fontId="2" fillId="6" borderId="0" xfId="1" applyNumberFormat="1" applyFont="1" applyFill="1" applyAlignment="1">
      <alignment vertical="center" wrapText="1"/>
    </xf>
    <xf numFmtId="165" fontId="2" fillId="0" borderId="0" xfId="1" applyNumberFormat="1" applyFont="1" applyAlignment="1">
      <alignment vertical="center" wrapText="1"/>
    </xf>
    <xf numFmtId="168" fontId="6" fillId="2" borderId="0" xfId="0" applyNumberFormat="1" applyFont="1" applyFill="1" applyAlignment="1">
      <alignment horizontal="right" vertical="center"/>
    </xf>
    <xf numFmtId="165" fontId="6" fillId="2" borderId="0" xfId="1" applyNumberFormat="1" applyFont="1" applyFill="1"/>
    <xf numFmtId="167" fontId="6" fillId="0" borderId="0" xfId="2" applyNumberFormat="1" applyFont="1" applyFill="1" applyBorder="1"/>
    <xf numFmtId="167" fontId="6" fillId="2" borderId="0" xfId="2" applyNumberFormat="1" applyFont="1" applyFill="1"/>
    <xf numFmtId="167" fontId="6" fillId="6" borderId="0" xfId="2" applyNumberFormat="1" applyFont="1" applyFill="1" applyBorder="1"/>
    <xf numFmtId="165" fontId="6" fillId="0" borderId="0" xfId="1" applyNumberFormat="1" applyFont="1" applyFill="1" applyBorder="1"/>
    <xf numFmtId="9" fontId="0" fillId="2" borderId="1" xfId="2" applyFont="1" applyFill="1" applyBorder="1"/>
    <xf numFmtId="167" fontId="0" fillId="2" borderId="1" xfId="2" applyNumberFormat="1" applyFont="1" applyFill="1" applyBorder="1"/>
    <xf numFmtId="167" fontId="0" fillId="2" borderId="1" xfId="2" applyNumberFormat="1" applyFont="1" applyFill="1" applyBorder="1" applyAlignment="1">
      <alignment horizontal="right"/>
    </xf>
    <xf numFmtId="165" fontId="0" fillId="0" borderId="1" xfId="0" applyNumberFormat="1" applyBorder="1"/>
    <xf numFmtId="165" fontId="0" fillId="0" borderId="20" xfId="1" applyNumberFormat="1" applyFont="1" applyBorder="1"/>
    <xf numFmtId="43" fontId="0" fillId="0" borderId="2" xfId="0" applyNumberFormat="1" applyBorder="1"/>
    <xf numFmtId="166" fontId="6" fillId="2" borderId="0" xfId="1" applyNumberFormat="1" applyFont="1" applyFill="1" applyBorder="1"/>
    <xf numFmtId="165" fontId="0" fillId="0" borderId="14" xfId="1" applyNumberFormat="1" applyFont="1" applyBorder="1"/>
    <xf numFmtId="165" fontId="0" fillId="0" borderId="19" xfId="1" applyNumberFormat="1" applyFont="1" applyBorder="1"/>
    <xf numFmtId="165" fontId="0" fillId="0" borderId="21" xfId="1" applyNumberFormat="1" applyFont="1" applyBorder="1"/>
    <xf numFmtId="9" fontId="19" fillId="0" borderId="2" xfId="2" applyFont="1" applyBorder="1"/>
    <xf numFmtId="164" fontId="0" fillId="0" borderId="2" xfId="0" applyNumberFormat="1" applyBorder="1"/>
    <xf numFmtId="9" fontId="8" fillId="7" borderId="1" xfId="2" applyFont="1" applyFill="1" applyBorder="1"/>
    <xf numFmtId="9" fontId="8" fillId="7" borderId="1" xfId="2" applyFont="1" applyFill="1" applyBorder="1" applyAlignment="1">
      <alignment horizontal="right"/>
    </xf>
    <xf numFmtId="170" fontId="0" fillId="0" borderId="0" xfId="0" applyNumberFormat="1"/>
    <xf numFmtId="165" fontId="0" fillId="11" borderId="1" xfId="1" applyNumberFormat="1" applyFont="1" applyFill="1" applyBorder="1"/>
    <xf numFmtId="0" fontId="0" fillId="6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0" borderId="22" xfId="0" applyBorder="1"/>
    <xf numFmtId="0" fontId="0" fillId="0" borderId="3" xfId="0" applyBorder="1"/>
    <xf numFmtId="0" fontId="8" fillId="0" borderId="13" xfId="0" applyFont="1" applyBorder="1"/>
    <xf numFmtId="0" fontId="6" fillId="0" borderId="2" xfId="0" applyFont="1" applyBorder="1"/>
    <xf numFmtId="168" fontId="0" fillId="0" borderId="1" xfId="0" applyNumberFormat="1" applyBorder="1"/>
    <xf numFmtId="43" fontId="2" fillId="0" borderId="0" xfId="3" applyNumberFormat="1" applyFont="1"/>
    <xf numFmtId="9" fontId="0" fillId="2" borderId="1" xfId="2" applyFont="1" applyFill="1" applyBorder="1" applyAlignment="1">
      <alignment horizontal="right"/>
    </xf>
    <xf numFmtId="167" fontId="0" fillId="0" borderId="0" xfId="0" applyNumberFormat="1"/>
    <xf numFmtId="2" fontId="0" fillId="0" borderId="0" xfId="0" applyNumberFormat="1"/>
    <xf numFmtId="0" fontId="0" fillId="6" borderId="0" xfId="0" applyFill="1" applyAlignment="1">
      <alignment horizontal="center" vertical="center"/>
    </xf>
    <xf numFmtId="165" fontId="0" fillId="9" borderId="1" xfId="1" applyNumberFormat="1" applyFont="1" applyFill="1" applyBorder="1" applyAlignment="1">
      <alignment horizontal="right"/>
    </xf>
    <xf numFmtId="0" fontId="20" fillId="0" borderId="0" xfId="0" applyFont="1"/>
    <xf numFmtId="0" fontId="9" fillId="8" borderId="16" xfId="0" applyFont="1" applyFill="1" applyBorder="1" applyAlignment="1">
      <alignment horizontal="center" vertical="center"/>
    </xf>
    <xf numFmtId="0" fontId="9" fillId="9" borderId="18" xfId="0" applyFont="1" applyFill="1" applyBorder="1" applyAlignment="1">
      <alignment horizontal="center" vertical="center"/>
    </xf>
    <xf numFmtId="165" fontId="8" fillId="7" borderId="1" xfId="1" applyNumberFormat="1" applyFont="1" applyFill="1" applyBorder="1" applyAlignment="1">
      <alignment horizontal="center"/>
    </xf>
    <xf numFmtId="0" fontId="0" fillId="0" borderId="0" xfId="0" applyAlignment="1">
      <alignment vertical="center" wrapText="1"/>
    </xf>
    <xf numFmtId="165" fontId="6" fillId="12" borderId="0" xfId="1" applyNumberFormat="1" applyFont="1" applyFill="1"/>
  </cellXfs>
  <cellStyles count="5">
    <cellStyle name="Comma" xfId="1" builtinId="3"/>
    <cellStyle name="Normal" xfId="0" builtinId="0"/>
    <cellStyle name="Normal 2" xfId="3" xr:uid="{9ECD0577-6DB2-4EF0-A0BC-1A58D9DDCE55}"/>
    <cellStyle name="Percent" xfId="2" builtinId="5"/>
    <cellStyle name="Percent 2" xfId="4" xr:uid="{3F3B5B23-E832-483D-BDCB-73C65EA66D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ustomXml" Target="../ink/ink1.xml"/><Relationship Id="rId4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903153</xdr:colOff>
      <xdr:row>88</xdr:row>
      <xdr:rowOff>0</xdr:rowOff>
    </xdr:from>
    <xdr:to>
      <xdr:col>1</xdr:col>
      <xdr:colOff>903513</xdr:colOff>
      <xdr:row>88</xdr:row>
      <xdr:rowOff>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115F79D-ABE5-4888-A363-D106D51666BE}"/>
                </a:ext>
              </a:extLst>
            </xdr14:cNvPr>
            <xdr14:cNvContentPartPr/>
          </xdr14:nvContentPartPr>
          <xdr14:nvPr macro=""/>
          <xdr14:xfrm>
            <a:off x="1277640" y="16574986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9D00E3EF-F423-1039-2F9D-A504D5BCBA7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269000" y="16565986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4T06:11:30.230"/>
    </inkml:context>
    <inkml:brush xml:id="br0">
      <inkml:brushProperty name="width" value="0.05" units="cm"/>
      <inkml:brushProperty name="height" value="0.05" units="cm"/>
      <inkml:brushProperty name="color" value="#FF4E00"/>
      <inkml:brushProperty name="inkEffects" value="rainbow"/>
      <inkml:brushProperty name="anchorX" value="-846.66669"/>
      <inkml:brushProperty name="anchorY" value="-846.66669"/>
      <inkml:brushProperty name="scaleFactor" value="0.5"/>
    </inkml:brush>
  </inkml:definitions>
  <inkml:trace contextRef="#ctx0" brushRef="#br0">1 0 24575,'0'0'0</inkml:trace>
</inkml:ink>
</file>

<file path=xl/persons/person.xml><?xml version="1.0" encoding="utf-8"?>
<personList xmlns="http://schemas.microsoft.com/office/spreadsheetml/2018/threadedcomments" xmlns:x="http://schemas.openxmlformats.org/spreadsheetml/2006/main">
  <person displayName="Naman Mishra" id="{D7A64F81-45C3-4C24-8D8A-F1FDD72A5F62}" userId="S::naman.mishra@packfora.com::9a1c04cd-5285-4414-ac97-33d2269d085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1" dT="2023-05-23T04:01:57.05" personId="{00000000-0000-0000-0000-000000000000}" id="{D1A55E0B-4DCA-4814-8ED8-7F7AED121DD3}">
    <text>2 mm margin between 2 wraps/cartons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1" dT="2025-11-25T04:20:44.49" personId="{D7A64F81-45C3-4C24-8D8A-F1FDD72A5F62}" id="{D9F3231B-31DA-4762-8499-F851A5A1AF71}">
    <text>https://www.globalpetrolprices.com/Argentina/electricity_prices/</text>
    <extLst>
      <x:ext xmlns:xltc2="http://schemas.microsoft.com/office/spreadsheetml/2020/threadedcomments2" uri="{F7C98A9C-CBB3-438F-8F68-D28B6AF4A901}">
        <xltc2:checksum>3039485925</xltc2:checksum>
        <xltc2:hyperlink startIndex="0" length="64" url="https://www.globalpetrolprices.com/Argentina/electricity_prices/"/>
      </x:ext>
    </extLst>
  </threadedComment>
  <threadedComment ref="I11" dT="2025-12-01T06:25:19.23" personId="{D7A64F81-45C3-4C24-8D8A-F1FDD72A5F62}" id="{E5BBF846-FCCF-4A1C-9CE3-E42C4CBFB910}">
    <text>https://taxsummaries.pwc.com/argentina/corporate/deductions</text>
    <extLst>
      <x:ext xmlns:xltc2="http://schemas.microsoft.com/office/spreadsheetml/2020/threadedcomments2" uri="{F7C98A9C-CBB3-438F-8F68-D28B6AF4A901}">
        <xltc2:checksum>2519445080</xltc2:checksum>
        <xltc2:hyperlink startIndex="0" length="59" url="https://taxsummaries.pwc.com/argentina/corporate/deductions"/>
      </x:ext>
    </extLst>
  </threadedComment>
  <threadedComment ref="D12" dT="2025-11-25T04:16:59.59" personId="{D7A64F81-45C3-4C24-8D8A-F1FDD72A5F62}" id="{6ABFF7C4-24E2-4BDE-A1B6-7B8B7FD58A65}">
    <text>https://www.globalpetrolprices.com/Brazil/electricity_prices/</text>
    <extLst>
      <x:ext xmlns:xltc2="http://schemas.microsoft.com/office/spreadsheetml/2020/threadedcomments2" uri="{F7C98A9C-CBB3-438F-8F68-D28B6AF4A901}">
        <xltc2:checksum>1769162758</xltc2:checksum>
        <xltc2:hyperlink startIndex="0" length="61" url="https://www.globalpetrolprices.com/Brazil/electricity_prices/"/>
      </x:ext>
    </extLst>
  </threadedComment>
  <threadedComment ref="H12" dT="2025-12-01T06:29:25.84" personId="{D7A64F81-45C3-4C24-8D8A-F1FDD72A5F62}" id="{B204B231-F5BA-4CAF-8E15-7288FDFAB257}">
    <text>https://taxsummaries.pwc.com/brazil/corporate/deductions</text>
    <extLst>
      <x:ext xmlns:xltc2="http://schemas.microsoft.com/office/spreadsheetml/2020/threadedcomments2" uri="{F7C98A9C-CBB3-438F-8F68-D28B6AF4A901}">
        <xltc2:checksum>1457425061</xltc2:checksum>
        <xltc2:hyperlink startIndex="0" length="56" url="https://taxsummaries.pwc.com/brazil/corporate/deductions"/>
      </x:ext>
    </extLst>
  </threadedComment>
  <threadedComment ref="I12" dT="2025-12-01T06:29:29.92" personId="{D7A64F81-45C3-4C24-8D8A-F1FDD72A5F62}" id="{E9C0E92E-B3E7-4FF3-B196-9BE329CA889F}">
    <text>https://taxsummaries.pwc.com/brazil/corporate/deductions</text>
    <extLst>
      <x:ext xmlns:xltc2="http://schemas.microsoft.com/office/spreadsheetml/2020/threadedcomments2" uri="{F7C98A9C-CBB3-438F-8F68-D28B6AF4A901}">
        <xltc2:checksum>1457425061</xltc2:checksum>
        <xltc2:hyperlink startIndex="0" length="56" url="https://taxsummaries.pwc.com/brazil/corporate/deductions"/>
      </x:ext>
    </extLst>
  </threadedComment>
  <threadedComment ref="D13" dT="2025-11-24T06:15:43.42" personId="{D7A64F81-45C3-4C24-8D8A-F1FDD72A5F62}" id="{1E795EA9-7380-41C6-A6D2-51AB004316F6}">
    <text>https://www.globalpetrolprices.com/China/electricity_prices/#:~:text=The%20residential%20electricity%20price%20in,0.025%200.050%200.075%200.100%200.125</text>
    <extLst>
      <x:ext xmlns:xltc2="http://schemas.microsoft.com/office/spreadsheetml/2020/threadedcomments2" uri="{F7C98A9C-CBB3-438F-8F68-D28B6AF4A901}">
        <xltc2:checksum>2074749812</xltc2:checksum>
        <xltc2:hyperlink startIndex="0" length="151" url="https://www.globalpetrolprices.com/China/electricity_prices/#:~:text=The%20residential%20electricity%20price%20in,0.025%200.050%200.075%200.100%200.125"/>
      </x:ext>
    </extLst>
  </threadedComment>
  <threadedComment ref="E13" dT="2025-11-24T07:41:28.84" personId="{D7A64F81-45C3-4C24-8D8A-F1FDD72A5F62}" id="{9B3564B3-40E6-4EA0-9487-E77B9AF46B0B}">
    <text>https://www.glassdoor.co.in/Salaries/shanghai-china-manufacturing-operator-salary-SRCH_IL.0,14_IM999_KO15,37.htm</text>
    <extLst>
      <x:ext xmlns:xltc2="http://schemas.microsoft.com/office/spreadsheetml/2020/threadedcomments2" uri="{F7C98A9C-CBB3-438F-8F68-D28B6AF4A901}">
        <xltc2:checksum>1698643067</xltc2:checksum>
        <xltc2:hyperlink startIndex="0" length="112" url="https://www.glassdoor.co.in/Salaries/shanghai-china-manufacturing-operator-salary-SRCH_IL.0,14_IM999_KO15,37.htm"/>
      </x:ext>
    </extLst>
  </threadedComment>
  <threadedComment ref="F13" dT="2025-11-24T07:42:25.14" personId="{D7A64F81-45C3-4C24-8D8A-F1FDD72A5F62}" id="{3B279537-E749-41A4-A159-702249859C09}">
    <text>https://www.glassdoor.co.in/Salaries/shanghai-china-manufacturing-engineer-salary-SRCH_IL.0,14_IM999_KO15,37.htm</text>
    <extLst>
      <x:ext xmlns:xltc2="http://schemas.microsoft.com/office/spreadsheetml/2020/threadedcomments2" uri="{F7C98A9C-CBB3-438F-8F68-D28B6AF4A901}">
        <xltc2:checksum>3691662003</xltc2:checksum>
        <xltc2:hyperlink startIndex="0" length="112" url="https://www.glassdoor.co.in/Salaries/shanghai-china-manufacturing-engineer-salary-SRCH_IL.0,14_IM999_KO15,37.htm"/>
      </x:ext>
    </extLst>
  </threadedComment>
  <threadedComment ref="G13" dT="2025-11-24T07:18:23.61" personId="{D7A64F81-45C3-4C24-8D8A-F1FDD72A5F62}" id="{64E9B790-AC62-4B98-ABEE-5EFAA6A49F43}">
    <text>https://www.glassdoor.sg/Salaries/china-production-manager-salary-SRCH_IL.0,5_IN48_KO6,24.htm</text>
    <extLst>
      <x:ext xmlns:xltc2="http://schemas.microsoft.com/office/spreadsheetml/2020/threadedcomments2" uri="{F7C98A9C-CBB3-438F-8F68-D28B6AF4A901}">
        <xltc2:checksum>860536315</xltc2:checksum>
        <xltc2:hyperlink startIndex="0" length="93" url="https://www.glassdoor.sg/Salaries/china-production-manager-salary-SRCH_IL.0,5_IN48_KO6,24.htm"/>
      </x:ext>
    </extLst>
  </threadedComment>
  <threadedComment ref="M13" dT="2025-11-24T06:14:15.04" personId="{D7A64F81-45C3-4C24-8D8A-F1FDD72A5F62}" id="{B48A00E8-4B74-4E74-AAF3-7537CB5507AB}">
    <text>https://www.icbc.com.cn/ICBC/EN/FinancialInformation/RMBDepositLoanRate/RMBLoanRate/</text>
    <extLst>
      <x:ext xmlns:xltc2="http://schemas.microsoft.com/office/spreadsheetml/2020/threadedcomments2" uri="{F7C98A9C-CBB3-438F-8F68-D28B6AF4A901}">
        <xltc2:checksum>3839789850</xltc2:checksum>
        <xltc2:hyperlink startIndex="0" length="84" url="https://www.icbc.com.cn/ICBC/EN/FinancialInformation/RMBDepositLoanRate/RMBLoanRate/"/>
      </x:ext>
    </extLst>
  </threadedComment>
  <threadedComment ref="D14" dT="2025-11-25T04:23:57.37" personId="{D7A64F81-45C3-4C24-8D8A-F1FDD72A5F62}" id="{478BF5EB-CEE2-44E5-B065-3AC91B202CAE}">
    <text>https://www.globalpetrolprices.com/France/electricity_prices/</text>
    <extLst>
      <x:ext xmlns:xltc2="http://schemas.microsoft.com/office/spreadsheetml/2020/threadedcomments2" uri="{F7C98A9C-CBB3-438F-8F68-D28B6AF4A901}">
        <xltc2:checksum>3968260290</xltc2:checksum>
        <xltc2:hyperlink startIndex="0" length="61" url="https://www.globalpetrolprices.com/France/electricity_prices/"/>
      </x:ext>
    </extLst>
  </threadedComment>
  <threadedComment ref="D15" dT="2025-11-25T04:22:41.38" personId="{D7A64F81-45C3-4C24-8D8A-F1FDD72A5F62}" id="{817A64B2-8870-4691-AC4D-24CF4EEC02B0}">
    <text>https://www.globalpetrolprices.com/Germany/electricity_prices/</text>
    <extLst>
      <x:ext xmlns:xltc2="http://schemas.microsoft.com/office/spreadsheetml/2020/threadedcomments2" uri="{F7C98A9C-CBB3-438F-8F68-D28B6AF4A901}">
        <xltc2:checksum>298306652</xltc2:checksum>
        <xltc2:hyperlink startIndex="0" length="62" url="https://www.globalpetrolprices.com/Germany/electricity_prices/"/>
      </x:ext>
    </extLst>
  </threadedComment>
  <threadedComment ref="D16" dT="2025-11-25T04:23:18.93" personId="{D7A64F81-45C3-4C24-8D8A-F1FDD72A5F62}" id="{56C5E891-FD86-4606-86E6-FAAA99A0109C}">
    <text>https://www.globalpetrolprices.com/Hungary/electricity_prices/</text>
    <extLst>
      <x:ext xmlns:xltc2="http://schemas.microsoft.com/office/spreadsheetml/2020/threadedcomments2" uri="{F7C98A9C-CBB3-438F-8F68-D28B6AF4A901}">
        <xltc2:checksum>2375050192</xltc2:checksum>
        <xltc2:hyperlink startIndex="0" length="62" url="https://www.globalpetrolprices.com/Hungary/electricity_prices/"/>
      </x:ext>
    </extLst>
  </threadedComment>
  <threadedComment ref="H16" dT="2025-12-01T10:11:11.71" personId="{D7A64F81-45C3-4C24-8D8A-F1FDD72A5F62}" id="{7F504796-2244-4C11-84C0-A292F0B9D915}">
    <text>https://taxsummaries.pwc.com/hungary/corporate/deductions#:~:text=Assets%20newly%20acquired%20since%202003,be%20recognised%20for%20CIT%20purposes.</text>
    <extLst>
      <x:ext xmlns:xltc2="http://schemas.microsoft.com/office/spreadsheetml/2020/threadedcomments2" uri="{F7C98A9C-CBB3-438F-8F68-D28B6AF4A901}">
        <xltc2:checksum>200628319</xltc2:checksum>
        <xltc2:hyperlink startIndex="0" length="145" url="https://taxsummaries.pwc.com/hungary/corporate/deductions#:~:text=Assets%20newly%20acquired%20since%202003,be%20recognised%20for%20CIT%20purposes"/>
      </x:ext>
    </extLst>
  </threadedComment>
  <threadedComment ref="I16" dT="2025-12-01T10:11:20.00" personId="{D7A64F81-45C3-4C24-8D8A-F1FDD72A5F62}" id="{6157DC9A-0066-4153-9D7B-B3DC02AC6733}">
    <text>https://taxsummaries.pwc.com/hungary/corporate/deductions#:~:text=Assets%20newly%20acquired%20since%202003,be%20recognised%20for%20CIT%20purposes.</text>
    <extLst>
      <x:ext xmlns:xltc2="http://schemas.microsoft.com/office/spreadsheetml/2020/threadedcomments2" uri="{F7C98A9C-CBB3-438F-8F68-D28B6AF4A901}">
        <xltc2:checksum>200628319</xltc2:checksum>
        <xltc2:hyperlink startIndex="0" length="145" url="https://taxsummaries.pwc.com/hungary/corporate/deductions#:~:text=Assets%20newly%20acquired%20since%202003,be%20recognised%20for%20CIT%20purposes"/>
      </x:ext>
    </extLst>
  </threadedComment>
  <threadedComment ref="D17" dT="2025-11-25T05:39:05.24" personId="{D7A64F81-45C3-4C24-8D8A-F1FDD72A5F62}" id="{A5ACCD3A-894B-4B05-B6B1-BD8455006816}">
    <text>https://www.globalpetrolprices.com/India/electricity_prices/</text>
    <extLst>
      <x:ext xmlns:xltc2="http://schemas.microsoft.com/office/spreadsheetml/2020/threadedcomments2" uri="{F7C98A9C-CBB3-438F-8F68-D28B6AF4A901}">
        <xltc2:checksum>3504373081</xltc2:checksum>
        <xltc2:hyperlink startIndex="0" length="60" url="https://www.globalpetrolprices.com/India/electricity_prices/"/>
      </x:ext>
    </extLst>
  </threadedComment>
  <threadedComment ref="E17" dT="2025-11-25T05:41:07.61" personId="{D7A64F81-45C3-4C24-8D8A-F1FDD72A5F62}" id="{BFE10253-DBE5-4C63-8189-84821BB5C95E}">
    <text>https://www.ambitionbox.com/profile/machine-operator-salary</text>
    <extLst>
      <x:ext xmlns:xltc2="http://schemas.microsoft.com/office/spreadsheetml/2020/threadedcomments2" uri="{F7C98A9C-CBB3-438F-8F68-D28B6AF4A901}">
        <xltc2:checksum>3799196213</xltc2:checksum>
        <xltc2:hyperlink startIndex="0" length="59" url="https://www.ambitionbox.com/profile/machine-operator-salary"/>
      </x:ext>
    </extLst>
  </threadedComment>
  <threadedComment ref="F17" dT="2025-11-25T05:42:25.52" personId="{D7A64F81-45C3-4C24-8D8A-F1FDD72A5F62}" id="{C50F033E-2AE7-41DF-9929-B3F0302F26F5}">
    <text>https://www.glassdoor.co.in/Salaries/manufacturing-engineer-salary-SRCH_KO0,22.htm</text>
    <extLst>
      <x:ext xmlns:xltc2="http://schemas.microsoft.com/office/spreadsheetml/2020/threadedcomments2" uri="{F7C98A9C-CBB3-438F-8F68-D28B6AF4A901}">
        <xltc2:checksum>1593921953</xltc2:checksum>
        <xltc2:hyperlink startIndex="0" length="82" url="https://www.glassdoor.co.in/Salaries/manufacturing-engineer-salary-SRCH_KO0,22.htm"/>
      </x:ext>
    </extLst>
  </threadedComment>
  <threadedComment ref="G17" dT="2025-11-25T05:42:51.01" personId="{D7A64F81-45C3-4C24-8D8A-F1FDD72A5F62}" id="{FDF17174-53DF-4B97-96B3-AC0005502B48}">
    <text>https://www.glassdoor.co.in/Salaries/production-manager-salary-SRCH_KO0,18.htm</text>
    <extLst>
      <x:ext xmlns:xltc2="http://schemas.microsoft.com/office/spreadsheetml/2020/threadedcomments2" uri="{F7C98A9C-CBB3-438F-8F68-D28B6AF4A901}">
        <xltc2:checksum>2327830780</xltc2:checksum>
        <xltc2:hyperlink startIndex="0" length="78" url="https://www.glassdoor.co.in/Salaries/production-manager-salary-SRCH_KO0,18.htm"/>
      </x:ext>
    </extLst>
  </threadedComment>
  <threadedComment ref="D18" dT="2025-11-25T04:18:26.83" personId="{D7A64F81-45C3-4C24-8D8A-F1FDD72A5F62}" id="{E25CA215-4262-45F9-BAA8-462BB6A1011C}">
    <text>https://www.globalpetrolprices.com/Indonesia/electricity_prices/</text>
    <extLst>
      <x:ext xmlns:xltc2="http://schemas.microsoft.com/office/spreadsheetml/2020/threadedcomments2" uri="{F7C98A9C-CBB3-438F-8F68-D28B6AF4A901}">
        <xltc2:checksum>3796997609</xltc2:checksum>
        <xltc2:hyperlink startIndex="0" length="64" url="https://www.globalpetrolprices.com/Indonesia/electricity_prices/"/>
      </x:ext>
    </extLst>
  </threadedComment>
  <threadedComment ref="H18" dT="2025-11-28T05:34:12.48" personId="{D7A64F81-45C3-4C24-8D8A-F1FDD72A5F62}" id="{FFEE3B92-6513-453D-823F-FD3B4F7F72B1}">
    <text>https://taxsummaries.pwc.com/indonesia/corporate/deductions</text>
    <extLst>
      <x:ext xmlns:xltc2="http://schemas.microsoft.com/office/spreadsheetml/2020/threadedcomments2" uri="{F7C98A9C-CBB3-438F-8F68-D28B6AF4A901}">
        <xltc2:checksum>3691373313</xltc2:checksum>
        <xltc2:hyperlink startIndex="0" length="59" url="https://taxsummaries.pwc.com/indonesia/corporate/deductions"/>
      </x:ext>
    </extLst>
  </threadedComment>
  <threadedComment ref="I18" dT="2025-11-28T05:34:22.32" personId="{D7A64F81-45C3-4C24-8D8A-F1FDD72A5F62}" id="{5FEA5DD7-000A-4E9E-A436-29FB01B30ABC}">
    <text>https://taxsummaries.pwc.com/indonesia/corporate/deductions</text>
    <extLst>
      <x:ext xmlns:xltc2="http://schemas.microsoft.com/office/spreadsheetml/2020/threadedcomments2" uri="{F7C98A9C-CBB3-438F-8F68-D28B6AF4A901}">
        <xltc2:checksum>3691373313</xltc2:checksum>
        <xltc2:hyperlink startIndex="0" length="59" url="https://taxsummaries.pwc.com/indonesia/corporate/deductions"/>
      </x:ext>
    </extLst>
  </threadedComment>
  <threadedComment ref="D19" dT="2025-11-25T04:25:05.99" personId="{D7A64F81-45C3-4C24-8D8A-F1FDD72A5F62}" id="{FE524B5F-B8BB-4CD8-8A6D-30CE8C675579}">
    <text>https://www.globalpetrolprices.com/Mexico/electricity_prices/</text>
    <extLst>
      <x:ext xmlns:xltc2="http://schemas.microsoft.com/office/spreadsheetml/2020/threadedcomments2" uri="{F7C98A9C-CBB3-438F-8F68-D28B6AF4A901}">
        <xltc2:checksum>2909428065</xltc2:checksum>
        <xltc2:hyperlink startIndex="0" length="61" url="https://www.globalpetrolprices.com/Mexico/electricity_prices/"/>
      </x:ext>
    </extLst>
  </threadedComment>
  <threadedComment ref="D20" dT="2025-11-25T04:22:00.01" personId="{D7A64F81-45C3-4C24-8D8A-F1FDD72A5F62}" id="{CD657119-33C5-4637-BB5E-8D2D9DEB0E49}">
    <text>https://www.globalpetrolprices.com/Pakistan/electricity_prices/</text>
    <extLst>
      <x:ext xmlns:xltc2="http://schemas.microsoft.com/office/spreadsheetml/2020/threadedcomments2" uri="{F7C98A9C-CBB3-438F-8F68-D28B6AF4A901}">
        <xltc2:checksum>2841944604</xltc2:checksum>
        <xltc2:hyperlink startIndex="0" length="63" url="https://www.globalpetrolprices.com/Pakistan/electricity_prices/"/>
      </x:ext>
    </extLst>
  </threadedComment>
  <threadedComment ref="H20" dT="2025-12-02T10:51:36.81" personId="{D7A64F81-45C3-4C24-8D8A-F1FDD72A5F62}" id="{FC15A23C-32BD-4E70-B8A6-AAD05B5B227F}">
    <text>https://taxsummaries.pwc.com/pakistan/corporate/deductions</text>
    <extLst>
      <x:ext xmlns:xltc2="http://schemas.microsoft.com/office/spreadsheetml/2020/threadedcomments2" uri="{F7C98A9C-CBB3-438F-8F68-D28B6AF4A901}">
        <xltc2:checksum>2357254663</xltc2:checksum>
        <xltc2:hyperlink startIndex="0" length="58" url="https://taxsummaries.pwc.com/pakistan/corporate/deductions"/>
      </x:ext>
    </extLst>
  </threadedComment>
  <threadedComment ref="I20" dT="2025-12-02T10:51:40.98" personId="{D7A64F81-45C3-4C24-8D8A-F1FDD72A5F62}" id="{B994A39C-8A74-4445-98A1-6754A0D9BFBF}">
    <text>https://taxsummaries.pwc.com/pakistan/corporate/deductions</text>
    <extLst>
      <x:ext xmlns:xltc2="http://schemas.microsoft.com/office/spreadsheetml/2020/threadedcomments2" uri="{F7C98A9C-CBB3-438F-8F68-D28B6AF4A901}">
        <xltc2:checksum>2357254663</xltc2:checksum>
        <xltc2:hyperlink startIndex="0" length="58" url="https://taxsummaries.pwc.com/pakistan/corporate/deductions"/>
      </x:ext>
    </extLst>
  </threadedComment>
  <threadedComment ref="D21" dT="2025-11-24T06:17:05.22" personId="{D7A64F81-45C3-4C24-8D8A-F1FDD72A5F62}" id="{8BCCAD0D-F625-4696-BCA0-DE91C3ACBA98}">
    <text>https://www.globalpetrolprices.com/Philippines/electricity_prices/</text>
    <extLst>
      <x:ext xmlns:xltc2="http://schemas.microsoft.com/office/spreadsheetml/2020/threadedcomments2" uri="{F7C98A9C-CBB3-438F-8F68-D28B6AF4A901}">
        <xltc2:checksum>565383623</xltc2:checksum>
        <xltc2:hyperlink startIndex="0" length="66" url="https://www.globalpetrolprices.com/Philippines/electricity_prices/"/>
      </x:ext>
    </extLst>
  </threadedComment>
  <threadedComment ref="E21" dT="2025-11-24T08:50:50.59" personId="{D7A64F81-45C3-4C24-8D8A-F1FDD72A5F62}" id="{E5592952-25EE-479D-9B2A-89E47C5DA585}">
    <text>https://www.glassdoor.co.in/Salaries/philippines-machine-operator-salary-SRCH_IL.0,11_IN204_KO12,28.htm?countryRedirect=true</text>
    <extLst>
      <x:ext xmlns:xltc2="http://schemas.microsoft.com/office/spreadsheetml/2020/threadedcomments2" uri="{F7C98A9C-CBB3-438F-8F68-D28B6AF4A901}">
        <xltc2:checksum>3554814090</xltc2:checksum>
        <xltc2:hyperlink startIndex="0" length="124" url="https://www.glassdoor.co.in/Salaries/philippines-machine-operator-salary-SRCH_IL.0,11_IN204_KO12,28.htm?countryRedirect=true"/>
      </x:ext>
    </extLst>
  </threadedComment>
  <threadedComment ref="F21" dT="2025-11-24T08:46:44.50" personId="{D7A64F81-45C3-4C24-8D8A-F1FDD72A5F62}" id="{3ACFFA19-12DF-40C8-A592-BD93298CA0DE}">
    <text>https://www.glassdoor.co.in/Salaries/cebu-city-philippines-manufacturing-engineer-salary-SRCH_IL.0,21_IM1639_KO22,44.htm</text>
    <extLst>
      <x:ext xmlns:xltc2="http://schemas.microsoft.com/office/spreadsheetml/2020/threadedcomments2" uri="{F7C98A9C-CBB3-438F-8F68-D28B6AF4A901}">
        <xltc2:checksum>3728396836</xltc2:checksum>
        <xltc2:hyperlink startIndex="0" length="120" url="https://www.glassdoor.co.in/Salaries/cebu-city-philippines-manufacturing-engineer-salary-SRCH_IL.0,21_IM1639_KO22,44.htm"/>
      </x:ext>
    </extLst>
  </threadedComment>
  <threadedComment ref="G21" dT="2025-11-24T07:08:20.39" personId="{D7A64F81-45C3-4C24-8D8A-F1FDD72A5F62}" id="{91D405D0-B9C4-42A4-B56D-27BA6426BD2E}">
    <text>https://ph.indeed.com/career/factory-manager/salaries</text>
    <extLst>
      <x:ext xmlns:xltc2="http://schemas.microsoft.com/office/spreadsheetml/2020/threadedcomments2" uri="{F7C98A9C-CBB3-438F-8F68-D28B6AF4A901}">
        <xltc2:checksum>1813442108</xltc2:checksum>
        <xltc2:hyperlink startIndex="0" length="53" url="https://ph.indeed.com/career/factory-manager/salaries"/>
      </x:ext>
    </extLst>
  </threadedComment>
  <threadedComment ref="J21" dT="2025-11-24T09:46:59.02" personId="{D7A64F81-45C3-4C24-8D8A-F1FDD72A5F62}" id="{37250499-E37E-4F7A-8AB5-2C36B62DD683}">
    <text>https://onepropertee.com/1-000-sqm-industrial-lot-sale-baliuag-bulacan-ready-build-access-via-nlex-property</text>
    <extLst>
      <x:ext xmlns:xltc2="http://schemas.microsoft.com/office/spreadsheetml/2020/threadedcomments2" uri="{F7C98A9C-CBB3-438F-8F68-D28B6AF4A901}">
        <xltc2:checksum>582610542</xltc2:checksum>
        <xltc2:hyperlink startIndex="0" length="107" url="https://onepropertee.com/1-000-sqm-industrial-lot-sale-baliuag-bulacan-ready-build-access-via-nlex-property"/>
      </x:ext>
    </extLst>
  </threadedComment>
  <threadedComment ref="K21" dT="2025-11-24T09:23:35.79" personId="{D7A64F81-45C3-4C24-8D8A-F1FDD72A5F62}" id="{2BCFE6D5-03E8-49A1-8D4F-DC931E1B568D}">
    <text>https://www.dotproperty.com.ph/ads/warehouse-factory-for-sale-in-malinta-metro-manila_28a58704c9c9-88a0-4b22-adad-c1a41089</text>
    <extLst>
      <x:ext xmlns:xltc2="http://schemas.microsoft.com/office/spreadsheetml/2020/threadedcomments2" uri="{F7C98A9C-CBB3-438F-8F68-D28B6AF4A901}">
        <xltc2:checksum>2673823304</xltc2:checksum>
        <xltc2:hyperlink startIndex="0" length="122" url="https://www.dotproperty.com.ph/ads/warehouse-factory-for-sale-in-malinta-metro-manila_28a58704c9c9-88a0-4b22-adad-c1a41089"/>
      </x:ext>
    </extLst>
  </threadedComment>
  <threadedComment ref="L21" dT="2025-11-24T09:42:06.96" personId="{D7A64F81-45C3-4C24-8D8A-F1FDD72A5F62}" id="{A2767194-3D78-440B-8265-B5A5215922DB}">
    <text>https://www.dotproperty.com.ph/ads/warehouse-factory-for-rent-in-tingub-cebu_7632309acdee-5ba0-f792-1572-ddd01089</text>
    <extLst>
      <x:ext xmlns:xltc2="http://schemas.microsoft.com/office/spreadsheetml/2020/threadedcomments2" uri="{F7C98A9C-CBB3-438F-8F68-D28B6AF4A901}">
        <xltc2:checksum>1746756916</xltc2:checksum>
        <xltc2:hyperlink startIndex="0" length="113" url="https://www.dotproperty.com.ph/ads/warehouse-factory-for-rent-in-tingub-cebu_7632309acdee-5ba0-f792-1572-ddd01089"/>
      </x:ext>
    </extLst>
  </threadedComment>
  <threadedComment ref="M21" dT="2025-11-24T05:49:33.49" personId="{D7A64F81-45C3-4C24-8D8A-F1FDD72A5F62}" id="{DE16859D-1B9E-488C-8EEB-ECD592FA1A9B}">
    <text>https://www.pnb.com.ph/index.php/business-loans</text>
    <extLst>
      <x:ext xmlns:xltc2="http://schemas.microsoft.com/office/spreadsheetml/2020/threadedcomments2" uri="{F7C98A9C-CBB3-438F-8F68-D28B6AF4A901}">
        <xltc2:checksum>4043717675</xltc2:checksum>
        <xltc2:hyperlink startIndex="0" length="47" url="https://www.pnb.com.ph/index.php/business-loans"/>
      </x:ext>
    </extLst>
  </threadedComment>
  <threadedComment ref="N21" dT="2025-11-24T12:13:10.83" personId="{D7A64F81-45C3-4C24-8D8A-F1FDD72A5F62}" id="{2639992C-6A44-4192-9E4A-13F84D96BCC2}">
    <text>https://www.securitybank.com/business/loans/business-working-capital/</text>
    <extLst>
      <x:ext xmlns:xltc2="http://schemas.microsoft.com/office/spreadsheetml/2020/threadedcomments2" uri="{F7C98A9C-CBB3-438F-8F68-D28B6AF4A901}">
        <xltc2:checksum>2267043501</xltc2:checksum>
        <xltc2:hyperlink startIndex="0" length="69" url="https://www.securitybank.com/business/loans/business-working-capital/"/>
      </x:ext>
    </extLst>
  </threadedComment>
  <threadedComment ref="D22" dT="2025-11-25T04:24:34.47" personId="{D7A64F81-45C3-4C24-8D8A-F1FDD72A5F62}" id="{7AE5B1FA-BAB7-498F-87C6-35BC08C79E34}">
    <text>https://www.globalpetrolprices.com/South-Africa/electricity_prices/</text>
    <extLst>
      <x:ext xmlns:xltc2="http://schemas.microsoft.com/office/spreadsheetml/2020/threadedcomments2" uri="{F7C98A9C-CBB3-438F-8F68-D28B6AF4A901}">
        <xltc2:checksum>2841423990</xltc2:checksum>
        <xltc2:hyperlink startIndex="0" length="67" url="https://www.globalpetrolprices.com/South-Africa/electricity_prices/"/>
      </x:ext>
    </extLst>
  </threadedComment>
  <threadedComment ref="H22" dT="2025-12-02T10:53:04.17" personId="{D7A64F81-45C3-4C24-8D8A-F1FDD72A5F62}" id="{E8F8526A-9797-4A10-866E-8C256258E272}">
    <text>https://taxsummaries.pwc.com/south-africa/corporate/deductions</text>
    <extLst>
      <x:ext xmlns:xltc2="http://schemas.microsoft.com/office/spreadsheetml/2020/threadedcomments2" uri="{F7C98A9C-CBB3-438F-8F68-D28B6AF4A901}">
        <xltc2:checksum>2554740308</xltc2:checksum>
        <xltc2:hyperlink startIndex="0" length="62" url="https://taxsummaries.pwc.com/south-africa/corporate/deductions"/>
      </x:ext>
    </extLst>
  </threadedComment>
  <threadedComment ref="I22" dT="2025-12-02T10:53:08.95" personId="{D7A64F81-45C3-4C24-8D8A-F1FDD72A5F62}" id="{6DDEFECE-FF86-47E4-941B-14686B1B8404}">
    <text>https://taxsummaries.pwc.com/south-africa/corporate/deductions</text>
    <extLst>
      <x:ext xmlns:xltc2="http://schemas.microsoft.com/office/spreadsheetml/2020/threadedcomments2" uri="{F7C98A9C-CBB3-438F-8F68-D28B6AF4A901}">
        <xltc2:checksum>2554740308</xltc2:checksum>
        <xltc2:hyperlink startIndex="0" length="62" url="https://taxsummaries.pwc.com/south-africa/corporate/deductions"/>
      </x:ext>
    </extLst>
  </threadedComment>
  <threadedComment ref="D23" dT="2025-11-25T04:21:28.31" personId="{D7A64F81-45C3-4C24-8D8A-F1FDD72A5F62}" id="{32BBAF49-790B-479F-9E28-680C45460955}">
    <text>https://www.globalpetrolprices.com/Turkey/electricity_prices/</text>
    <extLst>
      <x:ext xmlns:xltc2="http://schemas.microsoft.com/office/spreadsheetml/2020/threadedcomments2" uri="{F7C98A9C-CBB3-438F-8F68-D28B6AF4A901}">
        <xltc2:checksum>493460217</xltc2:checksum>
        <xltc2:hyperlink startIndex="0" length="61" url="https://www.globalpetrolprices.com/Turkey/electricity_prices/"/>
      </x:ext>
    </extLst>
  </threadedComment>
  <threadedComment ref="D24" dT="2025-11-24T12:08:21.26" personId="{D7A64F81-45C3-4C24-8D8A-F1FDD72A5F62}" id="{EAC19CEB-2747-4296-A665-969CB707B437}">
    <text>https://www.globalpetrolprices.com/United-Kingdom/electricity_prices/</text>
    <extLst>
      <x:ext xmlns:xltc2="http://schemas.microsoft.com/office/spreadsheetml/2020/threadedcomments2" uri="{F7C98A9C-CBB3-438F-8F68-D28B6AF4A901}">
        <xltc2:checksum>3980542309</xltc2:checksum>
        <xltc2:hyperlink startIndex="0" length="69" url="https://www.globalpetrolprices.com/United-Kingdom/electricity_prices/"/>
      </x:ext>
    </extLst>
  </threadedComment>
  <threadedComment ref="E24" dT="2025-11-25T04:41:53.71" personId="{D7A64F81-45C3-4C24-8D8A-F1FDD72A5F62}" id="{D1E47B15-D926-40C6-AEE5-3E0E8641B63C}">
    <text>https://www.glassdoor.co.uk/Salaries/machine-operator-salary-SRCH_KO0,16.htm</text>
    <extLst>
      <x:ext xmlns:xltc2="http://schemas.microsoft.com/office/spreadsheetml/2020/threadedcomments2" uri="{F7C98A9C-CBB3-438F-8F68-D28B6AF4A901}">
        <xltc2:checksum>1127749121</xltc2:checksum>
        <xltc2:hyperlink startIndex="0" length="76" url="https://www.glassdoor.co.uk/Salaries/machine-operator-salary-SRCH_KO0,16.htm"/>
      </x:ext>
    </extLst>
  </threadedComment>
  <threadedComment ref="F24" dT="2025-11-25T04:45:58.24" personId="{D7A64F81-45C3-4C24-8D8A-F1FDD72A5F62}" id="{83933892-1BE7-4300-9656-D71904A282DE}">
    <text>https://www.glassdoor.co.uk/Salaries/manufacturing-engineer-salary-SRCH_KO0,22.htm</text>
    <extLst>
      <x:ext xmlns:xltc2="http://schemas.microsoft.com/office/spreadsheetml/2020/threadedcomments2" uri="{F7C98A9C-CBB3-438F-8F68-D28B6AF4A901}">
        <xltc2:checksum>4194262314</xltc2:checksum>
        <xltc2:hyperlink startIndex="0" length="82" url="https://www.glassdoor.co.uk/Salaries/manufacturing-engineer-salary-SRCH_KO0,22.htm"/>
      </x:ext>
    </extLst>
  </threadedComment>
  <threadedComment ref="G24" dT="2025-11-25T04:46:40.48" personId="{D7A64F81-45C3-4C24-8D8A-F1FDD72A5F62}" id="{ADA8DFFD-D62C-433E-80A5-8F56F76A6DC7}">
    <text>https://www.glassdoor.co.uk/Salaries/production-manager-salary-SRCH_KO0,18.htm</text>
    <extLst>
      <x:ext xmlns:xltc2="http://schemas.microsoft.com/office/spreadsheetml/2020/threadedcomments2" uri="{F7C98A9C-CBB3-438F-8F68-D28B6AF4A901}">
        <xltc2:checksum>3402571459</xltc2:checksum>
        <xltc2:hyperlink startIndex="0" length="78" url="https://www.glassdoor.co.uk/Salaries/production-manager-salary-SRCH_KO0,18.htm"/>
      </x:ext>
    </extLst>
  </threadedComment>
  <threadedComment ref="H24" dT="2025-11-25T04:48:18.72" personId="{D7A64F81-45C3-4C24-8D8A-F1FDD72A5F62}" id="{C2CAEDD3-EF6A-4C3F-A5F5-8279B5755882}">
    <text>https://taxsummaries.pwc.com/united-kingdom/corporate/deductions</text>
    <extLst>
      <x:ext xmlns:xltc2="http://schemas.microsoft.com/office/spreadsheetml/2020/threadedcomments2" uri="{F7C98A9C-CBB3-438F-8F68-D28B6AF4A901}">
        <xltc2:checksum>1096798695</xltc2:checksum>
        <xltc2:hyperlink startIndex="0" length="64" url="https://taxsummaries.pwc.com/united-kingdom/corporate/deductions"/>
      </x:ext>
    </extLst>
  </threadedComment>
  <threadedComment ref="I24" dT="2025-12-01T11:00:32.69" personId="{D7A64F81-45C3-4C24-8D8A-F1FDD72A5F62}" id="{458AA5C5-D883-427A-87E8-797CC41BD0C8}">
    <text>https://taxsummaries.pwc.com/united-kingdom/corporate/deductions</text>
    <extLst>
      <x:ext xmlns:xltc2="http://schemas.microsoft.com/office/spreadsheetml/2020/threadedcomments2" uri="{F7C98A9C-CBB3-438F-8F68-D28B6AF4A901}">
        <xltc2:checksum>1096798695</xltc2:checksum>
        <xltc2:hyperlink startIndex="0" length="64" url="https://taxsummaries.pwc.com/united-kingdom/corporate/deductions"/>
      </x:ext>
    </extLst>
  </threadedComment>
  <threadedComment ref="D25" dT="2025-11-25T04:20:00.21" personId="{D7A64F81-45C3-4C24-8D8A-F1FDD72A5F62}" id="{38D2E047-B46A-46D9-9E6B-1C948955F4A6}">
    <text>https://www.globalpetrolprices.com/USA/electricity_prices/</text>
    <extLst>
      <x:ext xmlns:xltc2="http://schemas.microsoft.com/office/spreadsheetml/2020/threadedcomments2" uri="{F7C98A9C-CBB3-438F-8F68-D28B6AF4A901}">
        <xltc2:checksum>1961071253</xltc2:checksum>
        <xltc2:hyperlink startIndex="0" length="58" url="https://www.globalpetrolprices.com/USA/electricity_prices/"/>
      </x:ext>
    </extLst>
  </threadedComment>
  <threadedComment ref="E25" dT="2025-11-25T05:16:47.61" personId="{D7A64F81-45C3-4C24-8D8A-F1FDD72A5F62}" id="{2E26A94D-63DB-4310-91CE-233526C7FDE2}">
    <text>https://www.indeed.com/career/machine-operator/salaries</text>
    <extLst>
      <x:ext xmlns:xltc2="http://schemas.microsoft.com/office/spreadsheetml/2020/threadedcomments2" uri="{F7C98A9C-CBB3-438F-8F68-D28B6AF4A901}">
        <xltc2:checksum>954009554</xltc2:checksum>
        <xltc2:hyperlink startIndex="0" length="55" url="https://www.indeed.com/career/machine-operator/salaries"/>
      </x:ext>
    </extLst>
  </threadedComment>
  <threadedComment ref="F25" dT="2025-11-25T05:16:13.40" personId="{D7A64F81-45C3-4C24-8D8A-F1FDD72A5F62}" id="{5754EC41-27E2-4AA6-9E43-23389DEABDAC}">
    <text>https://www.indeed.com/career/manufacturing-engineer/salaries</text>
    <extLst>
      <x:ext xmlns:xltc2="http://schemas.microsoft.com/office/spreadsheetml/2020/threadedcomments2" uri="{F7C98A9C-CBB3-438F-8F68-D28B6AF4A901}">
        <xltc2:checksum>4062268499</xltc2:checksum>
        <xltc2:hyperlink startIndex="0" length="61" url="https://www.indeed.com/career/manufacturing-engineer/salaries"/>
      </x:ext>
    </extLst>
  </threadedComment>
  <threadedComment ref="G25" dT="2025-11-25T05:14:47.07" personId="{D7A64F81-45C3-4C24-8D8A-F1FDD72A5F62}" id="{F7A0C78D-C93A-4428-A9EE-9DA951B290BA}">
    <text>https://www.indeed.com/career/production-manager/salaries</text>
    <extLst>
      <x:ext xmlns:xltc2="http://schemas.microsoft.com/office/spreadsheetml/2020/threadedcomments2" uri="{F7C98A9C-CBB3-438F-8F68-D28B6AF4A901}">
        <xltc2:checksum>1270623244</xltc2:checksum>
        <xltc2:hyperlink startIndex="0" length="57" url="https://www.indeed.com/career/production-manager/salaries"/>
      </x:ext>
    </extLst>
  </threadedComment>
  <threadedComment ref="D26" dT="2025-11-24T05:36:06.66" personId="{D7A64F81-45C3-4C24-8D8A-F1FDD72A5F62}" id="{EB971055-5617-4F2A-8AD6-01313CF7AE41}">
    <text>https://en.evn.com.vn/d/en-US/news/WHOLESALE-ELECTRICITY-TARIFF-Decision-No-1279QD-BCT-dated-9-May-2025-of-Ministry-of-Industry-and-Trade-60-28-260</text>
    <extLst>
      <x:ext xmlns:xltc2="http://schemas.microsoft.com/office/spreadsheetml/2020/threadedcomments2" uri="{F7C98A9C-CBB3-438F-8F68-D28B6AF4A901}">
        <xltc2:checksum>3317685228</xltc2:checksum>
        <xltc2:hyperlink startIndex="0" length="147" url="https://en.evn.com.vn/d/en-US/news/WHOLESALE-ELECTRICITY-TARIFF-Decision-No-1279QD-BCT-dated-9-May-2025-of-Ministry-of-Industry-and-Trade-60-28-260"/>
      </x:ext>
    </extLst>
  </threadedComment>
  <threadedComment ref="E26" dT="2025-11-24T08:49:59.16" personId="{D7A64F81-45C3-4C24-8D8A-F1FDD72A5F62}" id="{9169ABF0-AD3D-47E9-816E-1085E366EAA7}">
    <text>https://www.glassdoor.co.in/Salaries/vietnam-machine-operator-salary-SRCH_IL.0,7_IN251_KO8,24.htm?countryRedirect=true</text>
    <extLst>
      <x:ext xmlns:xltc2="http://schemas.microsoft.com/office/spreadsheetml/2020/threadedcomments2" uri="{F7C98A9C-CBB3-438F-8F68-D28B6AF4A901}">
        <xltc2:checksum>2050559957</xltc2:checksum>
        <xltc2:hyperlink startIndex="0" length="118" url="https://www.glassdoor.co.in/Salaries/vietnam-machine-operator-salary-SRCH_IL.0,7_IN251_KO8,24.htm?countryRedirect=true"/>
      </x:ext>
    </extLst>
  </threadedComment>
  <threadedComment ref="F26" dT="2025-11-24T08:48:06.59" personId="{D7A64F81-45C3-4C24-8D8A-F1FDD72A5F62}" id="{C79BB4F1-669C-4A97-866A-44130047DF2C}">
    <text>https://www.glassdoor.co.in/Salaries/ho-chi-minh-vietnam-manufacturing-engineer-salary-SRCH_IL.0,19_IM1746_KO20,42.htm</text>
    <extLst>
      <x:ext xmlns:xltc2="http://schemas.microsoft.com/office/spreadsheetml/2020/threadedcomments2" uri="{F7C98A9C-CBB3-438F-8F68-D28B6AF4A901}">
        <xltc2:checksum>1144868345</xltc2:checksum>
        <xltc2:hyperlink startIndex="0" length="118" url="https://www.glassdoor.co.in/Salaries/ho-chi-minh-vietnam-manufacturing-engineer-salary-SRCH_IL.0,19_IM1746_KO20,42.htm"/>
      </x:ext>
    </extLst>
  </threadedComment>
  <threadedComment ref="G26" dT="2025-11-24T07:10:01.17" personId="{D7A64F81-45C3-4C24-8D8A-F1FDD72A5F62}" id="{E2C58E56-C70E-4307-996D-530B95EE636E}">
    <text>https://www.erieri.com/salary/job/manufacturing-manager/vietnam</text>
    <extLst>
      <x:ext xmlns:xltc2="http://schemas.microsoft.com/office/spreadsheetml/2020/threadedcomments2" uri="{F7C98A9C-CBB3-438F-8F68-D28B6AF4A901}">
        <xltc2:checksum>1735629801</xltc2:checksum>
        <xltc2:hyperlink startIndex="0" length="63" url="https://www.erieri.com/salary/job/manufacturing-manager/vietnam"/>
      </x:ext>
    </extLst>
  </threadedComment>
  <threadedComment ref="M26" dT="2025-11-24T05:30:45.43" personId="{D7A64F81-45C3-4C24-8D8A-F1FDD72A5F62}" id="{6A5CE8AF-6735-4FC4-BF1E-8BD41F504CA5}">
    <text>https://www.vietcombank.com.vn/en/Personal/Truy-cap-nhanh/Tin-noi-bat/Articles/2025/04/24/Vay-san-xuat-kinh-doanh</text>
    <extLst>
      <x:ext xmlns:xltc2="http://schemas.microsoft.com/office/spreadsheetml/2020/threadedcomments2" uri="{F7C98A9C-CBB3-438F-8F68-D28B6AF4A901}">
        <xltc2:checksum>1854656679</xltc2:checksum>
        <xltc2:hyperlink startIndex="0" length="113" url="https://www.vietcombank.com.vn/en/Personal/Truy-cap-nhanh/Tin-noi-bat/Articles/2025/04/24/Vay-san-xuat-kinh-doanh"/>
      </x:ext>
    </extLst>
  </threadedComment>
  <threadedComment ref="N26" dT="2025-11-24T12:10:31.30" personId="{D7A64F81-45C3-4C24-8D8A-F1FDD72A5F62}" id="{563902DB-05CC-439D-9DCF-58FD9766B42B}">
    <text>https://www.vietcombank.com.vn/en/Personal/Truy-cap-nhanh/KHCN---Danh-sach-uu-dai/KHCN---Khach-hang-ca-nhan-vay-von-160000-ty</text>
    <extLst>
      <x:ext xmlns:xltc2="http://schemas.microsoft.com/office/spreadsheetml/2020/threadedcomments2" uri="{F7C98A9C-CBB3-438F-8F68-D28B6AF4A901}">
        <xltc2:checksum>1938416252</xltc2:checksum>
        <xltc2:hyperlink startIndex="0" length="125" url="https://www.vietcombank.com.vn/en/Personal/Truy-cap-nhanh/KHCN---Danh-sach-uu-dai/KHCN---Khach-hang-ca-nhan-vay-von-160000-ty"/>
      </x:ext>
    </extLst>
  </threadedComment>
</ThreadedComment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6A38E-48BB-4D8B-B437-B818AE39325F}">
  <dimension ref="A1:N48"/>
  <sheetViews>
    <sheetView showGridLines="0" workbookViewId="0">
      <pane xSplit="1" ySplit="4" topLeftCell="B5" activePane="bottomRight" state="frozen"/>
      <selection pane="topRight" activeCell="G65" sqref="G65"/>
      <selection pane="bottomLeft" activeCell="G65" sqref="G65"/>
      <selection pane="bottomRight" activeCell="B10" sqref="B10"/>
    </sheetView>
  </sheetViews>
  <sheetFormatPr defaultColWidth="9.140625" defaultRowHeight="12" x14ac:dyDescent="0.25"/>
  <cols>
    <col min="1" max="1" width="27.7109375" style="66" customWidth="1"/>
    <col min="2" max="2" width="15.140625" style="66" customWidth="1"/>
    <col min="3" max="3" width="12.7109375" style="66" customWidth="1"/>
    <col min="4" max="4" width="15.7109375" style="66" customWidth="1"/>
    <col min="5" max="5" width="9.140625" style="66"/>
    <col min="6" max="6" width="15.140625" style="66" bestFit="1" customWidth="1"/>
    <col min="7" max="7" width="12.140625" style="66" customWidth="1"/>
    <col min="8" max="9" width="13.42578125" style="66" bestFit="1" customWidth="1"/>
    <col min="10" max="10" width="13.42578125" style="66" customWidth="1"/>
    <col min="11" max="14" width="13.42578125" style="66" bestFit="1" customWidth="1"/>
    <col min="15" max="16384" width="9.140625" style="66"/>
  </cols>
  <sheetData>
    <row r="1" spans="1:8" x14ac:dyDescent="0.25">
      <c r="A1" s="66" t="str">
        <f>"Country "&amp;Input!C4</f>
        <v>Country India</v>
      </c>
      <c r="B1" s="66" t="str">
        <f>"Country "&amp;Input!C5</f>
        <v>Country INR</v>
      </c>
      <c r="C1" s="66" t="str">
        <f>"Supplier "&amp;Input!C6</f>
        <v xml:space="preserve">Supplier </v>
      </c>
    </row>
    <row r="2" spans="1:8" x14ac:dyDescent="0.25">
      <c r="A2" s="66" t="str">
        <f>"Product "&amp;Input!C2</f>
        <v>Product Carton</v>
      </c>
      <c r="B2" s="66" t="str">
        <f>"Period "&amp;Input!C7</f>
        <v>Period Nov25</v>
      </c>
      <c r="C2" s="66" t="s">
        <v>0</v>
      </c>
      <c r="D2" s="66" t="str">
        <f>Input!C3</f>
        <v>xxxxxxxx</v>
      </c>
    </row>
    <row r="3" spans="1:8" ht="12.6" thickBot="1" x14ac:dyDescent="0.3">
      <c r="A3" s="66" t="str">
        <f>Input!A8 &amp; " pcs"</f>
        <v>Annual Volume pcs</v>
      </c>
      <c r="B3" s="79">
        <f>Input!C8</f>
        <v>3126950</v>
      </c>
      <c r="C3" s="66" t="str">
        <f>"Payment term "&amp;Input!C117 &amp; " Days"</f>
        <v>Payment term 60 Days</v>
      </c>
      <c r="D3" s="145"/>
    </row>
    <row r="4" spans="1:8" ht="12.6" thickBot="1" x14ac:dyDescent="0.3">
      <c r="A4" s="146" t="s">
        <v>1</v>
      </c>
      <c r="B4" s="147" t="str">
        <f>Input!$C$5&amp;" /1000"</f>
        <v>INR /1000</v>
      </c>
      <c r="C4" s="147" t="s">
        <v>2</v>
      </c>
      <c r="D4" s="148" t="s">
        <v>3</v>
      </c>
    </row>
    <row r="5" spans="1:8" x14ac:dyDescent="0.25">
      <c r="A5" s="149" t="s">
        <v>4</v>
      </c>
      <c r="B5" s="150">
        <f>B12</f>
        <v>888.61475429699908</v>
      </c>
      <c r="C5" s="150">
        <f>B5/Input!$C$112</f>
        <v>8.5222475716601043</v>
      </c>
      <c r="D5" s="151">
        <f t="shared" ref="D5:D10" si="0">B5/$B$10</f>
        <v>0.60828172731593699</v>
      </c>
      <c r="H5" s="152"/>
    </row>
    <row r="6" spans="1:8" x14ac:dyDescent="0.25">
      <c r="A6" s="149" t="s">
        <v>5</v>
      </c>
      <c r="B6" s="150">
        <f>B23</f>
        <v>363.64078289773414</v>
      </c>
      <c r="C6" s="150">
        <f>B6/Input!$C$112</f>
        <v>3.4874919238298085</v>
      </c>
      <c r="D6" s="151">
        <f t="shared" si="0"/>
        <v>0.24892231698149775</v>
      </c>
      <c r="H6" s="152"/>
    </row>
    <row r="7" spans="1:8" x14ac:dyDescent="0.25">
      <c r="A7" s="149" t="s">
        <v>6</v>
      </c>
      <c r="B7" s="150">
        <f>B33</f>
        <v>72.728156579546834</v>
      </c>
      <c r="C7" s="150">
        <f>B7/Input!$C$112</f>
        <v>0.69749838476596182</v>
      </c>
      <c r="D7" s="151">
        <f t="shared" si="0"/>
        <v>4.9784463396299557E-2</v>
      </c>
      <c r="H7" s="152"/>
    </row>
    <row r="8" spans="1:8" x14ac:dyDescent="0.25">
      <c r="A8" s="149" t="s">
        <v>7</v>
      </c>
      <c r="B8" s="150">
        <f>B36</f>
        <v>59.086333333333336</v>
      </c>
      <c r="C8" s="150">
        <f>B8/Input!$C$112</f>
        <v>0.56666666666666676</v>
      </c>
      <c r="D8" s="151">
        <f t="shared" si="0"/>
        <v>4.0446252694958884E-2</v>
      </c>
      <c r="H8" s="152"/>
    </row>
    <row r="9" spans="1:8" ht="12.6" thickBot="1" x14ac:dyDescent="0.3">
      <c r="A9" s="149" t="s">
        <v>8</v>
      </c>
      <c r="B9" s="150">
        <f>B37</f>
        <v>76.790482738771004</v>
      </c>
      <c r="C9" s="150">
        <f>B9/Input!$C$112</f>
        <v>0.73645806788885593</v>
      </c>
      <c r="D9" s="151">
        <f t="shared" si="0"/>
        <v>5.256523961130679E-2</v>
      </c>
      <c r="H9" s="152"/>
    </row>
    <row r="10" spans="1:8" ht="12.6" thickBot="1" x14ac:dyDescent="0.3">
      <c r="A10" s="153" t="s">
        <v>9</v>
      </c>
      <c r="B10" s="154">
        <f>SUM(B5:B9)</f>
        <v>1460.8605098463845</v>
      </c>
      <c r="C10" s="154">
        <f>SUM(C5:C9)</f>
        <v>14.010362614811399</v>
      </c>
      <c r="D10" s="155">
        <f t="shared" si="0"/>
        <v>1</v>
      </c>
      <c r="F10" s="156"/>
      <c r="H10" s="152"/>
    </row>
    <row r="11" spans="1:8" x14ac:dyDescent="0.25">
      <c r="A11" s="149"/>
      <c r="B11" s="157"/>
      <c r="C11" s="158"/>
      <c r="D11" s="159"/>
      <c r="H11" s="152"/>
    </row>
    <row r="12" spans="1:8" x14ac:dyDescent="0.25">
      <c r="A12" s="160" t="s">
        <v>10</v>
      </c>
      <c r="B12" s="161">
        <f>SUM(B13:B21)</f>
        <v>888.61475429699908</v>
      </c>
      <c r="C12" s="161">
        <f>SUM(C13:C21)</f>
        <v>8.522247571660106</v>
      </c>
      <c r="D12" s="162">
        <f t="shared" ref="D12:D19" si="1">B12/$B$10</f>
        <v>0.60828172731593699</v>
      </c>
      <c r="G12" s="214"/>
      <c r="H12" s="152"/>
    </row>
    <row r="13" spans="1:8" x14ac:dyDescent="0.25">
      <c r="A13" s="149" t="str">
        <f>Input!C36&amp;" "&amp;Input!C37</f>
        <v xml:space="preserve"> 300</v>
      </c>
      <c r="B13" s="158">
        <f>Material!D23</f>
        <v>687.51679499999989</v>
      </c>
      <c r="C13" s="158">
        <f>B13/Input!$C$112</f>
        <v>6.5936203606022818</v>
      </c>
      <c r="D13" s="151">
        <f t="shared" si="1"/>
        <v>0.47062453284625727</v>
      </c>
      <c r="H13" s="152"/>
    </row>
    <row r="14" spans="1:8" x14ac:dyDescent="0.25">
      <c r="A14" s="163" t="s">
        <v>11</v>
      </c>
      <c r="B14" s="158">
        <f>Material!D30</f>
        <v>84.962816254399982</v>
      </c>
      <c r="C14" s="158">
        <f>B14/Input!$C$112</f>
        <v>0.8148347199999999</v>
      </c>
      <c r="D14" s="151">
        <f t="shared" si="1"/>
        <v>5.8159431158375394E-2</v>
      </c>
      <c r="H14" s="152"/>
    </row>
    <row r="15" spans="1:8" x14ac:dyDescent="0.25">
      <c r="A15" s="163" t="str">
        <f>Input!C48</f>
        <v>UV varnish (Gloss)</v>
      </c>
      <c r="B15" s="158">
        <f>Material!D37</f>
        <v>79.652640238499998</v>
      </c>
      <c r="C15" s="158">
        <f>B15/Input!$C$112</f>
        <v>0.76390754999999999</v>
      </c>
      <c r="D15" s="151">
        <f t="shared" si="1"/>
        <v>5.4524466710976945E-2</v>
      </c>
      <c r="H15" s="152"/>
    </row>
    <row r="16" spans="1:8" x14ac:dyDescent="0.25">
      <c r="A16" s="163" t="s">
        <v>12</v>
      </c>
      <c r="B16" s="158">
        <f>Material!D80</f>
        <v>0</v>
      </c>
      <c r="C16" s="158">
        <f>B16/Input!$C$112</f>
        <v>0</v>
      </c>
      <c r="D16" s="151">
        <f t="shared" si="1"/>
        <v>0</v>
      </c>
      <c r="H16" s="152"/>
    </row>
    <row r="17" spans="1:8" x14ac:dyDescent="0.25">
      <c r="A17" s="163" t="s">
        <v>621</v>
      </c>
      <c r="B17" s="158">
        <f>Material!D91</f>
        <v>0</v>
      </c>
      <c r="C17" s="158">
        <f>B17/Input!$C$112</f>
        <v>0</v>
      </c>
      <c r="D17" s="151"/>
      <c r="H17" s="152"/>
    </row>
    <row r="18" spans="1:8" x14ac:dyDescent="0.25">
      <c r="A18" s="163" t="s">
        <v>13</v>
      </c>
      <c r="B18" s="158">
        <f>Material!D52</f>
        <v>0</v>
      </c>
      <c r="C18" s="158">
        <f>B18/Input!$C$112</f>
        <v>0</v>
      </c>
      <c r="D18" s="151">
        <f t="shared" ref="D18" si="2">B18/$B$10</f>
        <v>0</v>
      </c>
      <c r="H18" s="152"/>
    </row>
    <row r="19" spans="1:8" x14ac:dyDescent="0.25">
      <c r="A19" s="163" t="str">
        <f>Input!C53</f>
        <v>Met Pet Film 12 micron</v>
      </c>
      <c r="B19" s="158">
        <f>Material!D62+Material!D66</f>
        <v>0</v>
      </c>
      <c r="C19" s="158">
        <f>B19/Input!$C$112</f>
        <v>0</v>
      </c>
      <c r="D19" s="151">
        <f t="shared" si="1"/>
        <v>0</v>
      </c>
      <c r="H19" s="152"/>
    </row>
    <row r="20" spans="1:8" x14ac:dyDescent="0.25">
      <c r="A20" s="163" t="s">
        <v>14</v>
      </c>
      <c r="B20" s="158">
        <f>Material!D97+Material!D98+Material!D99</f>
        <v>12.610427705112011</v>
      </c>
      <c r="C20" s="158">
        <f>B20/Input!$C$112</f>
        <v>0.12094013335678538</v>
      </c>
      <c r="D20" s="151">
        <f t="shared" ref="D20" si="3">B20/$B$10</f>
        <v>8.6321915200774715E-3</v>
      </c>
      <c r="H20" s="152"/>
    </row>
    <row r="21" spans="1:8" x14ac:dyDescent="0.25">
      <c r="A21" s="163" t="s">
        <v>15</v>
      </c>
      <c r="B21" s="158">
        <f>Material!D55</f>
        <v>23.872075098987199</v>
      </c>
      <c r="C21" s="158">
        <f>B21/Input!$C$112</f>
        <v>0.2289448077010377</v>
      </c>
      <c r="D21" s="151">
        <f t="shared" ref="D21" si="4">B21/$B$10</f>
        <v>1.6341105080249892E-2</v>
      </c>
      <c r="H21" s="152"/>
    </row>
    <row r="22" spans="1:8" x14ac:dyDescent="0.25">
      <c r="A22" s="163"/>
      <c r="B22" s="150"/>
      <c r="C22" s="150"/>
      <c r="D22" s="164"/>
      <c r="H22" s="152"/>
    </row>
    <row r="23" spans="1:8" x14ac:dyDescent="0.25">
      <c r="A23" s="160" t="s">
        <v>16</v>
      </c>
      <c r="B23" s="161">
        <f>SUM(B24:B31)</f>
        <v>363.64078289773414</v>
      </c>
      <c r="C23" s="161">
        <f>SUM(C24:C31)</f>
        <v>3.487491923829809</v>
      </c>
      <c r="D23" s="165">
        <f t="shared" ref="D23:D30" si="5">B23/$B$10</f>
        <v>0.24892231698149775</v>
      </c>
      <c r="H23" s="152"/>
    </row>
    <row r="24" spans="1:8" x14ac:dyDescent="0.25">
      <c r="A24" s="149" t="s">
        <v>17</v>
      </c>
      <c r="B24" s="158">
        <f>Conversion!D252</f>
        <v>63.389962849848366</v>
      </c>
      <c r="C24" s="158">
        <f>B24/Input!$C$112</f>
        <v>0.60794056631675808</v>
      </c>
      <c r="D24" s="151">
        <f t="shared" si="5"/>
        <v>4.3392207827230599E-2</v>
      </c>
      <c r="H24" s="152"/>
    </row>
    <row r="25" spans="1:8" x14ac:dyDescent="0.25">
      <c r="A25" s="149" t="s">
        <v>18</v>
      </c>
      <c r="B25" s="158">
        <f>Conversion!D254</f>
        <v>54.855506638857364</v>
      </c>
      <c r="C25" s="158">
        <f>B25/Input!$C$112</f>
        <v>0.52609098147940314</v>
      </c>
      <c r="D25" s="151">
        <f t="shared" si="5"/>
        <v>3.7550133136685065E-2</v>
      </c>
      <c r="H25" s="152"/>
    </row>
    <row r="26" spans="1:8" x14ac:dyDescent="0.25">
      <c r="A26" s="149" t="s">
        <v>19</v>
      </c>
      <c r="B26" s="158">
        <f>Conversion!E343</f>
        <v>58.551388147688492</v>
      </c>
      <c r="C26" s="158">
        <f>B26/Input!$C$112</f>
        <v>0.56153628222584151</v>
      </c>
      <c r="D26" s="151">
        <f t="shared" si="5"/>
        <v>4.0080067708754351E-2</v>
      </c>
      <c r="H26" s="152"/>
    </row>
    <row r="27" spans="1:8" x14ac:dyDescent="0.25">
      <c r="A27" s="149" t="s">
        <v>20</v>
      </c>
      <c r="B27" s="158">
        <f>Conversion!D257</f>
        <v>11.015501311703167</v>
      </c>
      <c r="C27" s="158">
        <f>B27/Input!$C$112</f>
        <v>0.10564401373072953</v>
      </c>
      <c r="D27" s="151">
        <f t="shared" si="5"/>
        <v>7.5404196618755149E-3</v>
      </c>
      <c r="H27" s="152"/>
    </row>
    <row r="28" spans="1:8" x14ac:dyDescent="0.25">
      <c r="A28" s="149" t="s">
        <v>21</v>
      </c>
      <c r="B28" s="158">
        <f>Conversion!D260</f>
        <v>11.015501311703167</v>
      </c>
      <c r="C28" s="158">
        <f>B28/Input!$C$112</f>
        <v>0.10564401373072953</v>
      </c>
      <c r="D28" s="151">
        <f t="shared" si="5"/>
        <v>7.5404196618755149E-3</v>
      </c>
      <c r="H28" s="152"/>
    </row>
    <row r="29" spans="1:8" x14ac:dyDescent="0.25">
      <c r="A29" s="149" t="s">
        <v>22</v>
      </c>
      <c r="B29" s="158">
        <f>Conversion!E342</f>
        <v>0</v>
      </c>
      <c r="C29" s="158">
        <f>B29/Input!$C$112</f>
        <v>0</v>
      </c>
      <c r="D29" s="151">
        <f t="shared" si="5"/>
        <v>0</v>
      </c>
      <c r="H29" s="152"/>
    </row>
    <row r="30" spans="1:8" x14ac:dyDescent="0.25">
      <c r="A30" s="149" t="s">
        <v>23</v>
      </c>
      <c r="B30" s="158">
        <f>Conversion!D200+Conversion!E340</f>
        <v>67.835950723014264</v>
      </c>
      <c r="C30" s="158">
        <f>B30/Input!$C$112</f>
        <v>0.65057975182712446</v>
      </c>
      <c r="D30" s="151">
        <f t="shared" si="5"/>
        <v>4.6435611248159134E-2</v>
      </c>
      <c r="E30" s="166"/>
      <c r="H30" s="152"/>
    </row>
    <row r="31" spans="1:8" x14ac:dyDescent="0.25">
      <c r="A31" s="149" t="s">
        <v>24</v>
      </c>
      <c r="B31" s="158">
        <f>Conversion!D204+Conversion!E341+Conversion!D372</f>
        <v>96.976971914919332</v>
      </c>
      <c r="C31" s="158">
        <f>B31/Input!$C$112</f>
        <v>0.93005631451922255</v>
      </c>
      <c r="D31" s="151">
        <f t="shared" ref="D31" si="6">B31/$B$10</f>
        <v>6.6383457736917575E-2</v>
      </c>
      <c r="H31" s="152"/>
    </row>
    <row r="32" spans="1:8" x14ac:dyDescent="0.25">
      <c r="A32" s="149"/>
      <c r="B32" s="158"/>
      <c r="C32" s="158"/>
      <c r="D32" s="159"/>
      <c r="H32" s="152"/>
    </row>
    <row r="33" spans="1:14" x14ac:dyDescent="0.25">
      <c r="A33" s="149" t="s">
        <v>6</v>
      </c>
      <c r="B33" s="161">
        <f>B23*Input!C98</f>
        <v>72.728156579546834</v>
      </c>
      <c r="C33" s="161">
        <f>B33/Input!$C$112</f>
        <v>0.69749838476596182</v>
      </c>
      <c r="D33" s="162">
        <f t="shared" ref="D33" si="7">B33/$B$10</f>
        <v>4.9784463396299557E-2</v>
      </c>
      <c r="H33" s="152"/>
    </row>
    <row r="34" spans="1:14" x14ac:dyDescent="0.25">
      <c r="A34" s="149"/>
      <c r="B34" s="158"/>
      <c r="C34" s="158"/>
      <c r="D34" s="167"/>
      <c r="H34" s="152"/>
    </row>
    <row r="35" spans="1:14" x14ac:dyDescent="0.25">
      <c r="A35" s="160" t="s">
        <v>25</v>
      </c>
      <c r="B35" s="161">
        <f>SUM(B36:B37)</f>
        <v>135.87681607210433</v>
      </c>
      <c r="C35" s="161">
        <f>SUM(C36:C37)</f>
        <v>1.3031247345555226</v>
      </c>
      <c r="D35" s="162">
        <f>B35/$B$10</f>
        <v>9.3011492306265667E-2</v>
      </c>
      <c r="H35" s="152"/>
    </row>
    <row r="36" spans="1:14" x14ac:dyDescent="0.25">
      <c r="A36" s="149" t="s">
        <v>7</v>
      </c>
      <c r="B36" s="158">
        <f>Conversion!D356</f>
        <v>59.086333333333336</v>
      </c>
      <c r="C36" s="158">
        <f>B36/Input!$C$112</f>
        <v>0.56666666666666676</v>
      </c>
      <c r="D36" s="151">
        <f>B36/$B$10</f>
        <v>4.0446252694958884E-2</v>
      </c>
      <c r="H36" s="152"/>
    </row>
    <row r="37" spans="1:14" ht="12.6" thickBot="1" x14ac:dyDescent="0.3">
      <c r="A37" s="168" t="s">
        <v>26</v>
      </c>
      <c r="B37" s="169">
        <f>Conversion!D363</f>
        <v>76.790482738771004</v>
      </c>
      <c r="C37" s="169">
        <f>B37/Input!$C$112</f>
        <v>0.73645806788885593</v>
      </c>
      <c r="D37" s="170">
        <f>B37/$B$10</f>
        <v>5.256523961130679E-2</v>
      </c>
      <c r="H37" s="152"/>
    </row>
    <row r="38" spans="1:14" ht="12.6" thickBot="1" x14ac:dyDescent="0.3"/>
    <row r="39" spans="1:14" ht="12.6" thickBot="1" x14ac:dyDescent="0.3">
      <c r="A39" s="153" t="s">
        <v>27</v>
      </c>
      <c r="B39" s="146" t="str">
        <f>B4</f>
        <v>INR /1000</v>
      </c>
      <c r="C39" s="147" t="str">
        <f>C4</f>
        <v>EUR/1000</v>
      </c>
      <c r="D39" s="147" t="s">
        <v>3</v>
      </c>
      <c r="E39" s="146" t="s">
        <v>4</v>
      </c>
      <c r="F39" s="147" t="s">
        <v>28</v>
      </c>
      <c r="G39" s="147" t="s">
        <v>29</v>
      </c>
      <c r="H39" s="147" t="s">
        <v>30</v>
      </c>
      <c r="I39" s="147" t="s">
        <v>31</v>
      </c>
      <c r="J39" s="147" t="s">
        <v>22</v>
      </c>
      <c r="K39" s="147" t="s">
        <v>23</v>
      </c>
      <c r="L39" s="147" t="s">
        <v>24</v>
      </c>
      <c r="M39" s="147" t="s">
        <v>32</v>
      </c>
      <c r="N39" s="148" t="s">
        <v>6</v>
      </c>
    </row>
    <row r="40" spans="1:14" x14ac:dyDescent="0.25">
      <c r="A40" s="66" t="s">
        <v>33</v>
      </c>
      <c r="B40" s="158">
        <f t="shared" ref="B40:B45" si="8">SUM(E40:N40)</f>
        <v>722.46732618694796</v>
      </c>
      <c r="C40" s="158">
        <f>B40/Input!$C$112</f>
        <v>6.9288129489493429</v>
      </c>
      <c r="D40" s="171">
        <f t="shared" ref="D40:D45" si="9">B40/$B$47</f>
        <v>0.49454915189877952</v>
      </c>
      <c r="E40" s="172">
        <f>B13</f>
        <v>687.51679499999989</v>
      </c>
      <c r="F40" s="173"/>
      <c r="G40" s="173"/>
      <c r="H40" s="173"/>
      <c r="I40" s="173"/>
      <c r="J40" s="173">
        <f>Conversion!J391</f>
        <v>0</v>
      </c>
      <c r="K40" s="173">
        <f>Conversion!J388+Conversion!J387</f>
        <v>22.009848777080975</v>
      </c>
      <c r="L40" s="173">
        <f>Conversion!D372</f>
        <v>7.1155938787090918</v>
      </c>
      <c r="M40" s="173"/>
      <c r="N40" s="174">
        <f>SUM(F40:L40)*Input!$C$98</f>
        <v>5.8250885311580136</v>
      </c>
    </row>
    <row r="41" spans="1:14" x14ac:dyDescent="0.25">
      <c r="A41" s="66" t="s">
        <v>34</v>
      </c>
      <c r="B41" s="158">
        <f t="shared" si="8"/>
        <v>352.11540689901824</v>
      </c>
      <c r="C41" s="158">
        <f>B41/Input!$C$112</f>
        <v>3.3769579639303564</v>
      </c>
      <c r="D41" s="171">
        <f t="shared" si="9"/>
        <v>0.24103287379302538</v>
      </c>
      <c r="E41" s="172">
        <f>B14+B15+Material!D97+Material!D55</f>
        <v>198.49120929699919</v>
      </c>
      <c r="F41" s="173">
        <f>Conversion!D386</f>
        <v>31.635535026143693</v>
      </c>
      <c r="G41" s="173">
        <f>Conversion!D384+Conversion!D385</f>
        <v>50.434955419243295</v>
      </c>
      <c r="H41" s="173">
        <f>Conversion!D389</f>
        <v>3.2239667741744995</v>
      </c>
      <c r="I41" s="173">
        <f>Conversion!D390</f>
        <v>3.2239667741744995</v>
      </c>
      <c r="J41" s="173">
        <f>Conversion!D391</f>
        <v>0</v>
      </c>
      <c r="K41" s="173">
        <f>Conversion!D387+Conversion!D388</f>
        <v>13.201521658481788</v>
      </c>
      <c r="L41" s="173">
        <f>Conversion!D392+Conversion!D393</f>
        <v>26.300219016131393</v>
      </c>
      <c r="M41" s="173"/>
      <c r="N41" s="174">
        <f>SUM(F41:L41)*Input!$C$98</f>
        <v>25.604032933669835</v>
      </c>
    </row>
    <row r="42" spans="1:14" x14ac:dyDescent="0.25">
      <c r="A42" s="66" t="s">
        <v>35</v>
      </c>
      <c r="B42" s="158">
        <f t="shared" si="8"/>
        <v>250.40096068831386</v>
      </c>
      <c r="C42" s="158">
        <f>B42/Input!$C$112</f>
        <v>2.4014669673761762</v>
      </c>
      <c r="D42" s="171">
        <f t="shared" si="9"/>
        <v>0.17140648200192954</v>
      </c>
      <c r="E42" s="172">
        <f>Material!D99+Material!D98</f>
        <v>2.6067499999999999</v>
      </c>
      <c r="F42" s="173">
        <f>Conversion!H386+Conversion!I386</f>
        <v>31.754427823704681</v>
      </c>
      <c r="G42" s="173">
        <f>Conversion!H384+Conversion!H385+Conversion!I384+Conversion!I385</f>
        <v>62.971939367302539</v>
      </c>
      <c r="H42" s="173">
        <f>Conversion!H389+Conversion!I389</f>
        <v>7.7915345375286673</v>
      </c>
      <c r="I42" s="173">
        <f>Conversion!H390+Conversion!I390</f>
        <v>7.7915345375286673</v>
      </c>
      <c r="J42" s="173">
        <f>Conversion!H391+Conversion!I391</f>
        <v>0</v>
      </c>
      <c r="K42" s="173">
        <f>Conversion!H387+Conversion!I387+Conversion!H388+Conversion!I388</f>
        <v>32.624580287451494</v>
      </c>
      <c r="L42" s="173">
        <f>Conversion!H392+Conversion!H393+Conversion!I392+Conversion!I393</f>
        <v>63.561159020078847</v>
      </c>
      <c r="M42" s="173"/>
      <c r="N42" s="174">
        <f>SUM(F42:L42)*Input!$C$98</f>
        <v>41.299035114718983</v>
      </c>
    </row>
    <row r="43" spans="1:14" x14ac:dyDescent="0.25">
      <c r="A43" s="66" t="s">
        <v>36</v>
      </c>
      <c r="B43" s="158">
        <f t="shared" si="8"/>
        <v>0</v>
      </c>
      <c r="C43" s="158">
        <f>B43/Input!$C$112</f>
        <v>0</v>
      </c>
      <c r="D43" s="171">
        <f t="shared" si="9"/>
        <v>0</v>
      </c>
      <c r="E43" s="172">
        <f>B18+B19</f>
        <v>0</v>
      </c>
      <c r="F43" s="173">
        <f>Conversion!G386</f>
        <v>0</v>
      </c>
      <c r="G43" s="173">
        <f>Conversion!G384+Conversion!G385</f>
        <v>0</v>
      </c>
      <c r="H43" s="173">
        <f>Conversion!G389</f>
        <v>0</v>
      </c>
      <c r="I43" s="173">
        <f>Conversion!G390</f>
        <v>0</v>
      </c>
      <c r="J43" s="173">
        <f>Conversion!G391</f>
        <v>0</v>
      </c>
      <c r="K43" s="173">
        <f>Conversion!G387+Conversion!G388</f>
        <v>0</v>
      </c>
      <c r="L43" s="173">
        <f>Conversion!G392+Conversion!G393</f>
        <v>0</v>
      </c>
      <c r="M43" s="173"/>
      <c r="N43" s="174">
        <f>SUM(F43:L43)*Input!$C$98</f>
        <v>0</v>
      </c>
    </row>
    <row r="44" spans="1:14" x14ac:dyDescent="0.25">
      <c r="A44" s="66" t="s">
        <v>37</v>
      </c>
      <c r="B44" s="158">
        <f t="shared" si="8"/>
        <v>0</v>
      </c>
      <c r="C44" s="158">
        <f>B44/Input!$C$112</f>
        <v>0</v>
      </c>
      <c r="D44" s="171">
        <f t="shared" si="9"/>
        <v>0</v>
      </c>
      <c r="E44" s="172">
        <f>B16+B17</f>
        <v>0</v>
      </c>
      <c r="F44" s="173">
        <f>Conversion!F386+Conversion!E386</f>
        <v>0</v>
      </c>
      <c r="G44" s="173">
        <f>Conversion!E384+Conversion!E385+Conversion!F384+Conversion!F385</f>
        <v>0</v>
      </c>
      <c r="H44" s="173">
        <f>Conversion!F389+Conversion!E389</f>
        <v>0</v>
      </c>
      <c r="I44" s="173">
        <f>Conversion!F390+Conversion!E390</f>
        <v>0</v>
      </c>
      <c r="J44" s="173">
        <f>Conversion!F391+Conversion!E391</f>
        <v>0</v>
      </c>
      <c r="K44" s="173">
        <f>Conversion!F387+Conversion!E387+Conversion!F388+Conversion!E388</f>
        <v>0</v>
      </c>
      <c r="L44" s="173">
        <f>Conversion!F392+Conversion!F393+Conversion!E392+Conversion!E393</f>
        <v>0</v>
      </c>
      <c r="M44" s="173"/>
      <c r="N44" s="174">
        <f>SUM(F44:L44)*Input!$C$98</f>
        <v>0</v>
      </c>
    </row>
    <row r="45" spans="1:14" x14ac:dyDescent="0.25">
      <c r="A45" s="66" t="s">
        <v>38</v>
      </c>
      <c r="B45" s="158">
        <f t="shared" si="8"/>
        <v>135.87681607210433</v>
      </c>
      <c r="C45" s="158">
        <f>B45/Input!$C$112</f>
        <v>1.3031247345555226</v>
      </c>
      <c r="D45" s="171">
        <f t="shared" si="9"/>
        <v>9.3011492306265681E-2</v>
      </c>
      <c r="E45" s="172"/>
      <c r="F45" s="173"/>
      <c r="G45" s="173"/>
      <c r="H45" s="173"/>
      <c r="I45" s="173"/>
      <c r="J45" s="173"/>
      <c r="K45" s="173"/>
      <c r="L45" s="173"/>
      <c r="M45" s="173">
        <f>B35</f>
        <v>135.87681607210433</v>
      </c>
      <c r="N45" s="174">
        <f>SUM(F45:L45)*Input!$C$98</f>
        <v>0</v>
      </c>
    </row>
    <row r="46" spans="1:14" ht="12.6" thickBot="1" x14ac:dyDescent="0.3">
      <c r="B46" s="158"/>
      <c r="C46" s="158"/>
      <c r="D46" s="175"/>
      <c r="E46" s="172"/>
      <c r="F46" s="173"/>
      <c r="G46" s="173"/>
      <c r="H46" s="173"/>
      <c r="I46" s="173"/>
      <c r="J46" s="173"/>
      <c r="K46" s="173"/>
      <c r="L46" s="173"/>
      <c r="M46" s="173"/>
      <c r="N46" s="174"/>
    </row>
    <row r="47" spans="1:14" ht="12.6" thickBot="1" x14ac:dyDescent="0.3">
      <c r="A47" s="176" t="s">
        <v>39</v>
      </c>
      <c r="B47" s="177">
        <f>SUM(B40:B45)</f>
        <v>1460.8605098463843</v>
      </c>
      <c r="C47" s="154">
        <f>SUM(C40:C45)</f>
        <v>14.010362614811399</v>
      </c>
      <c r="D47" s="178">
        <f>B47/$B$47</f>
        <v>1</v>
      </c>
      <c r="E47" s="177">
        <f t="shared" ref="E47:N47" si="10">SUM(E40:E46)</f>
        <v>888.61475429699908</v>
      </c>
      <c r="F47" s="154">
        <f t="shared" si="10"/>
        <v>63.389962849848374</v>
      </c>
      <c r="G47" s="154">
        <f t="shared" si="10"/>
        <v>113.40689478654583</v>
      </c>
      <c r="H47" s="154">
        <f t="shared" si="10"/>
        <v>11.015501311703167</v>
      </c>
      <c r="I47" s="154">
        <f t="shared" si="10"/>
        <v>11.015501311703167</v>
      </c>
      <c r="J47" s="154">
        <f t="shared" si="10"/>
        <v>0</v>
      </c>
      <c r="K47" s="154">
        <f t="shared" si="10"/>
        <v>67.835950723014264</v>
      </c>
      <c r="L47" s="154">
        <f t="shared" si="10"/>
        <v>96.976971914919332</v>
      </c>
      <c r="M47" s="154">
        <f t="shared" si="10"/>
        <v>135.87681607210433</v>
      </c>
      <c r="N47" s="179">
        <f t="shared" si="10"/>
        <v>72.728156579546834</v>
      </c>
    </row>
    <row r="48" spans="1:14" x14ac:dyDescent="0.25">
      <c r="B48" s="180">
        <f>B10-B47</f>
        <v>0</v>
      </c>
      <c r="C48" s="158">
        <f>C10-C47</f>
        <v>0</v>
      </c>
      <c r="E48" s="158">
        <f>B5-E47</f>
        <v>0</v>
      </c>
      <c r="F48" s="158">
        <f>B24-F47</f>
        <v>0</v>
      </c>
      <c r="G48" s="158">
        <f>B25+B26-G47</f>
        <v>0</v>
      </c>
      <c r="H48" s="158">
        <f>B27-H47</f>
        <v>0</v>
      </c>
      <c r="I48" s="158">
        <f>B28-I47</f>
        <v>0</v>
      </c>
      <c r="J48" s="158">
        <f>B29-J47</f>
        <v>0</v>
      </c>
      <c r="K48" s="158">
        <f>B30-K47</f>
        <v>0</v>
      </c>
      <c r="L48" s="158">
        <f>B31-L47</f>
        <v>0</v>
      </c>
      <c r="M48" s="158">
        <f>B35-M47</f>
        <v>0</v>
      </c>
      <c r="N48" s="158">
        <f>B33-N47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1B6EC-A20E-41A0-A329-3A1B9994505B}">
  <dimension ref="A1:G313"/>
  <sheetViews>
    <sheetView showGridLines="0" tabSelected="1" topLeftCell="A3" workbookViewId="0">
      <selection activeCell="E26" sqref="E26"/>
    </sheetView>
  </sheetViews>
  <sheetFormatPr defaultColWidth="9.140625" defaultRowHeight="12" x14ac:dyDescent="0.25"/>
  <cols>
    <col min="1" max="1" width="31.140625" style="66" customWidth="1"/>
    <col min="2" max="2" width="15" style="66" bestFit="1" customWidth="1"/>
    <col min="3" max="3" width="22.7109375" style="72" customWidth="1"/>
    <col min="4" max="4" width="26.140625" style="25" customWidth="1"/>
    <col min="5" max="5" width="20.140625" style="25" customWidth="1"/>
    <col min="6" max="16384" width="9.140625" style="25"/>
  </cols>
  <sheetData>
    <row r="1" spans="1:5" x14ac:dyDescent="0.25">
      <c r="D1" s="25" t="s">
        <v>40</v>
      </c>
      <c r="E1" s="84" t="s">
        <v>41</v>
      </c>
    </row>
    <row r="2" spans="1:5" x14ac:dyDescent="0.25">
      <c r="A2" s="66" t="s">
        <v>42</v>
      </c>
      <c r="C2" s="67" t="s">
        <v>43</v>
      </c>
    </row>
    <row r="3" spans="1:5" x14ac:dyDescent="0.25">
      <c r="A3" s="66" t="s">
        <v>0</v>
      </c>
      <c r="C3" s="67" t="s">
        <v>44</v>
      </c>
    </row>
    <row r="4" spans="1:5" x14ac:dyDescent="0.25">
      <c r="A4" s="66" t="s">
        <v>45</v>
      </c>
      <c r="C4" s="67" t="s">
        <v>577</v>
      </c>
    </row>
    <row r="5" spans="1:5" x14ac:dyDescent="0.25">
      <c r="A5" s="66" t="s">
        <v>47</v>
      </c>
      <c r="C5" s="91" t="str">
        <f>VLOOKUP($C$4,_xlnm.Database,MATCH($A5,Database!$A$10:$P$10,0),0)</f>
        <v>INR</v>
      </c>
    </row>
    <row r="6" spans="1:5" x14ac:dyDescent="0.25">
      <c r="A6" s="66" t="s">
        <v>48</v>
      </c>
      <c r="C6" s="67"/>
    </row>
    <row r="7" spans="1:5" x14ac:dyDescent="0.25">
      <c r="A7" s="66" t="s">
        <v>49</v>
      </c>
      <c r="C7" s="89" t="s">
        <v>639</v>
      </c>
    </row>
    <row r="8" spans="1:5" x14ac:dyDescent="0.25">
      <c r="A8" s="66" t="s">
        <v>50</v>
      </c>
      <c r="C8" s="181">
        <v>3126950</v>
      </c>
    </row>
    <row r="9" spans="1:5" x14ac:dyDescent="0.25">
      <c r="A9" s="66" t="s">
        <v>51</v>
      </c>
      <c r="C9" s="181">
        <f>C8/12</f>
        <v>260579.16666666666</v>
      </c>
    </row>
    <row r="10" spans="1:5" x14ac:dyDescent="0.25">
      <c r="A10" s="68" t="s">
        <v>52</v>
      </c>
      <c r="C10" s="69" t="s">
        <v>53</v>
      </c>
    </row>
    <row r="11" spans="1:5" x14ac:dyDescent="0.25">
      <c r="A11" s="68" t="s">
        <v>54</v>
      </c>
      <c r="C11" s="69"/>
    </row>
    <row r="12" spans="1:5" x14ac:dyDescent="0.25">
      <c r="A12" s="70"/>
      <c r="B12" s="71"/>
    </row>
    <row r="13" spans="1:5" x14ac:dyDescent="0.25">
      <c r="A13" s="73" t="s">
        <v>55</v>
      </c>
      <c r="C13" s="66" t="str">
        <f>"Rate "&amp;C5</f>
        <v>Rate INR</v>
      </c>
    </row>
    <row r="14" spans="1:5" x14ac:dyDescent="0.25">
      <c r="A14" s="66" t="s">
        <v>56</v>
      </c>
      <c r="B14" s="66" t="s">
        <v>57</v>
      </c>
      <c r="C14" s="114">
        <v>45</v>
      </c>
      <c r="E14" s="66"/>
    </row>
    <row r="15" spans="1:5" x14ac:dyDescent="0.25">
      <c r="A15" s="66" t="s">
        <v>58</v>
      </c>
      <c r="B15" s="66" t="s">
        <v>57</v>
      </c>
      <c r="C15" s="197">
        <f>IF(D15=0,VLOOKUP($C$4,_xlnm.Database,MATCH($A15,Database!$A$10:$U$10,0),0),D15)</f>
        <v>834.16</v>
      </c>
      <c r="D15" s="84"/>
      <c r="E15" s="77" t="s">
        <v>100</v>
      </c>
    </row>
    <row r="16" spans="1:5" x14ac:dyDescent="0.25">
      <c r="A16" s="66" t="s">
        <v>59</v>
      </c>
      <c r="B16" s="66" t="s">
        <v>57</v>
      </c>
      <c r="C16" s="197">
        <f>IF(D16=0,VLOOKUP($C$4,_xlnm.Database,MATCH($A16,Database!$A$10:$U$10,0),0),D16)</f>
        <v>521.35</v>
      </c>
      <c r="D16" s="84"/>
      <c r="E16" s="77" t="s">
        <v>100</v>
      </c>
    </row>
    <row r="17" spans="1:5" x14ac:dyDescent="0.25">
      <c r="A17" s="66" t="s">
        <v>60</v>
      </c>
      <c r="B17" s="66" t="s">
        <v>61</v>
      </c>
      <c r="C17" s="197">
        <f>IF(D17=0,VLOOKUP($C$4,_xlnm.Database,MATCH($A17,Database!$A$10:$U$10,0),0),D17)</f>
        <v>938.43</v>
      </c>
      <c r="D17" s="84"/>
      <c r="E17" s="77" t="s">
        <v>100</v>
      </c>
    </row>
    <row r="18" spans="1:5" x14ac:dyDescent="0.25">
      <c r="A18" s="66" t="s">
        <v>62</v>
      </c>
      <c r="B18" s="66" t="s">
        <v>57</v>
      </c>
      <c r="C18" s="197">
        <f>IF(D18=0,VLOOKUP($C$4,_xlnm.Database,MATCH($A18,Database!$A$10:$U$10,0),0),D18)</f>
        <v>208.54</v>
      </c>
      <c r="D18" s="84"/>
      <c r="E18" s="77" t="s">
        <v>100</v>
      </c>
    </row>
    <row r="19" spans="1:5" x14ac:dyDescent="0.25">
      <c r="A19" s="66" t="s">
        <v>63</v>
      </c>
      <c r="B19" s="66" t="s">
        <v>57</v>
      </c>
      <c r="C19" s="197">
        <f>IF(D19=0,VLOOKUP($C$4,_xlnm.Database,MATCH($A19,Database!$A$10:$U$10,0),0),D19)</f>
        <v>208.54</v>
      </c>
      <c r="D19" s="84"/>
      <c r="E19" s="77" t="s">
        <v>100</v>
      </c>
    </row>
    <row r="20" spans="1:5" x14ac:dyDescent="0.25">
      <c r="A20" s="70"/>
      <c r="B20" s="71"/>
    </row>
    <row r="21" spans="1:5" x14ac:dyDescent="0.25">
      <c r="A21" s="73" t="s">
        <v>64</v>
      </c>
      <c r="B21" s="75"/>
      <c r="C21" s="75"/>
    </row>
    <row r="22" spans="1:5" x14ac:dyDescent="0.25">
      <c r="A22" s="75" t="s">
        <v>65</v>
      </c>
      <c r="B22" s="25" t="s">
        <v>66</v>
      </c>
      <c r="C22" s="182">
        <v>5</v>
      </c>
    </row>
    <row r="23" spans="1:5" x14ac:dyDescent="0.25">
      <c r="A23" s="75" t="s">
        <v>67</v>
      </c>
      <c r="B23" s="25" t="s">
        <v>66</v>
      </c>
      <c r="C23" s="182">
        <v>2</v>
      </c>
    </row>
    <row r="24" spans="1:5" x14ac:dyDescent="0.25">
      <c r="A24" s="75" t="s">
        <v>68</v>
      </c>
      <c r="B24" s="25" t="s">
        <v>66</v>
      </c>
      <c r="C24" s="182">
        <v>1</v>
      </c>
    </row>
    <row r="25" spans="1:5" x14ac:dyDescent="0.25">
      <c r="A25" s="25" t="s">
        <v>69</v>
      </c>
      <c r="B25" s="25" t="s">
        <v>66</v>
      </c>
      <c r="C25" s="182">
        <v>12</v>
      </c>
    </row>
    <row r="26" spans="1:5" x14ac:dyDescent="0.25">
      <c r="A26" s="25" t="s">
        <v>70</v>
      </c>
      <c r="B26" s="25" t="s">
        <v>66</v>
      </c>
      <c r="C26" s="225">
        <f>C24</f>
        <v>1</v>
      </c>
    </row>
    <row r="27" spans="1:5" x14ac:dyDescent="0.25">
      <c r="A27" s="64" t="s">
        <v>71</v>
      </c>
      <c r="B27" s="64" t="s">
        <v>72</v>
      </c>
      <c r="C27" s="183">
        <v>36.299999999999997</v>
      </c>
    </row>
    <row r="28" spans="1:5" x14ac:dyDescent="0.25">
      <c r="A28" s="64" t="s">
        <v>73</v>
      </c>
      <c r="B28" s="64" t="s">
        <v>72</v>
      </c>
      <c r="C28" s="183">
        <v>37</v>
      </c>
    </row>
    <row r="29" spans="1:5" x14ac:dyDescent="0.25">
      <c r="A29" s="64" t="s">
        <v>74</v>
      </c>
      <c r="B29" s="64" t="s">
        <v>72</v>
      </c>
      <c r="C29" s="183">
        <v>46</v>
      </c>
    </row>
    <row r="30" spans="1:5" x14ac:dyDescent="0.25">
      <c r="A30" s="64" t="s">
        <v>75</v>
      </c>
      <c r="B30" s="64" t="s">
        <v>72</v>
      </c>
      <c r="C30" s="183">
        <v>46</v>
      </c>
    </row>
    <row r="31" spans="1:5" x14ac:dyDescent="0.25">
      <c r="A31" s="64" t="s">
        <v>76</v>
      </c>
      <c r="B31" s="64" t="s">
        <v>72</v>
      </c>
      <c r="C31" s="183">
        <v>179</v>
      </c>
    </row>
    <row r="32" spans="1:5" x14ac:dyDescent="0.25">
      <c r="A32" s="64" t="s">
        <v>77</v>
      </c>
      <c r="B32" s="64" t="s">
        <v>72</v>
      </c>
      <c r="C32" s="184">
        <f>275.9-179</f>
        <v>96.899999999999977</v>
      </c>
    </row>
    <row r="33" spans="1:6" x14ac:dyDescent="0.25">
      <c r="A33" s="64" t="s">
        <v>78</v>
      </c>
      <c r="B33" s="64" t="s">
        <v>72</v>
      </c>
      <c r="C33" s="65">
        <v>13</v>
      </c>
    </row>
    <row r="34" spans="1:6" x14ac:dyDescent="0.25">
      <c r="A34" s="75" t="s">
        <v>79</v>
      </c>
      <c r="C34" s="69" t="s">
        <v>80</v>
      </c>
      <c r="D34" s="77" t="s">
        <v>81</v>
      </c>
      <c r="E34" s="78"/>
    </row>
    <row r="35" spans="1:6" x14ac:dyDescent="0.25">
      <c r="A35" s="75" t="s">
        <v>82</v>
      </c>
      <c r="C35" s="69" t="s">
        <v>83</v>
      </c>
      <c r="D35" s="77" t="s">
        <v>81</v>
      </c>
      <c r="E35" s="78"/>
      <c r="F35" s="77"/>
    </row>
    <row r="36" spans="1:6" x14ac:dyDescent="0.25">
      <c r="A36" s="75" t="s">
        <v>84</v>
      </c>
      <c r="B36" s="76"/>
      <c r="C36" s="69"/>
      <c r="D36" s="77"/>
    </row>
    <row r="37" spans="1:6" x14ac:dyDescent="0.25">
      <c r="A37" s="75" t="s">
        <v>85</v>
      </c>
      <c r="B37" s="75" t="s">
        <v>86</v>
      </c>
      <c r="C37" s="103">
        <v>300</v>
      </c>
      <c r="D37" s="77"/>
    </row>
    <row r="38" spans="1:6" x14ac:dyDescent="0.25">
      <c r="A38" s="75" t="s">
        <v>217</v>
      </c>
      <c r="C38" s="88" t="s">
        <v>90</v>
      </c>
      <c r="D38" s="77" t="s">
        <v>81</v>
      </c>
    </row>
    <row r="39" spans="1:6" x14ac:dyDescent="0.25">
      <c r="A39" s="75" t="s">
        <v>638</v>
      </c>
      <c r="B39" s="66" t="s">
        <v>72</v>
      </c>
      <c r="C39" s="184"/>
      <c r="D39" s="220" t="str">
        <f>IF($C$38="N"," ","Dimensions Required")</f>
        <v xml:space="preserve"> </v>
      </c>
    </row>
    <row r="40" spans="1:6" x14ac:dyDescent="0.25">
      <c r="A40" s="75"/>
      <c r="C40" s="77"/>
      <c r="D40" s="77"/>
    </row>
    <row r="41" spans="1:6" x14ac:dyDescent="0.25">
      <c r="A41" s="73" t="s">
        <v>629</v>
      </c>
      <c r="C41" s="77"/>
      <c r="D41" s="77"/>
    </row>
    <row r="42" spans="1:6" x14ac:dyDescent="0.25">
      <c r="A42" s="75" t="s">
        <v>89</v>
      </c>
      <c r="C42" s="88" t="s">
        <v>90</v>
      </c>
      <c r="D42" s="77" t="s">
        <v>81</v>
      </c>
    </row>
    <row r="43" spans="1:6" x14ac:dyDescent="0.25">
      <c r="A43" s="75" t="s">
        <v>94</v>
      </c>
      <c r="C43" s="88" t="s">
        <v>90</v>
      </c>
      <c r="D43" s="77" t="s">
        <v>81</v>
      </c>
    </row>
    <row r="44" spans="1:6" x14ac:dyDescent="0.25">
      <c r="A44" s="75" t="s">
        <v>36</v>
      </c>
      <c r="C44" s="88" t="s">
        <v>90</v>
      </c>
      <c r="D44" s="77" t="s">
        <v>81</v>
      </c>
    </row>
    <row r="45" spans="1:6" x14ac:dyDescent="0.25">
      <c r="A45" s="66" t="s">
        <v>621</v>
      </c>
      <c r="C45" s="88" t="s">
        <v>90</v>
      </c>
      <c r="D45" s="77" t="s">
        <v>81</v>
      </c>
    </row>
    <row r="46" spans="1:6" x14ac:dyDescent="0.25">
      <c r="A46" s="73"/>
      <c r="C46" s="77"/>
      <c r="D46" s="77"/>
    </row>
    <row r="47" spans="1:6" x14ac:dyDescent="0.25">
      <c r="A47" s="73" t="s">
        <v>624</v>
      </c>
      <c r="C47" s="77"/>
      <c r="D47" s="77"/>
    </row>
    <row r="48" spans="1:6" x14ac:dyDescent="0.25">
      <c r="A48" s="75" t="s">
        <v>87</v>
      </c>
      <c r="C48" s="83" t="s">
        <v>88</v>
      </c>
      <c r="D48" s="77" t="s">
        <v>81</v>
      </c>
    </row>
    <row r="49" spans="1:5" x14ac:dyDescent="0.25">
      <c r="A49" s="75" t="s">
        <v>91</v>
      </c>
      <c r="C49" s="83" t="s">
        <v>92</v>
      </c>
      <c r="D49" s="77"/>
    </row>
    <row r="50" spans="1:5" x14ac:dyDescent="0.25">
      <c r="A50" s="75" t="s">
        <v>93</v>
      </c>
      <c r="C50" s="88">
        <v>0.3</v>
      </c>
      <c r="D50" s="220" t="str">
        <f>IF($C$42="N"," ","* Please input % of Area Coverage")</f>
        <v xml:space="preserve"> </v>
      </c>
      <c r="E50" s="77"/>
    </row>
    <row r="51" spans="1:5" x14ac:dyDescent="0.25">
      <c r="A51" s="75" t="s">
        <v>95</v>
      </c>
      <c r="B51" s="75" t="s">
        <v>72</v>
      </c>
      <c r="C51" s="103">
        <f>C27*40%</f>
        <v>14.52</v>
      </c>
      <c r="D51" s="220" t="str">
        <f>IF($C$43="N"," ","Dimensions Required")</f>
        <v xml:space="preserve"> </v>
      </c>
    </row>
    <row r="52" spans="1:5" x14ac:dyDescent="0.25">
      <c r="A52" s="75" t="s">
        <v>96</v>
      </c>
      <c r="B52" s="75" t="s">
        <v>72</v>
      </c>
      <c r="C52" s="103">
        <f>C31*40%</f>
        <v>71.600000000000009</v>
      </c>
      <c r="D52" s="220" t="str">
        <f>IF($C$43="N"," ","Dimensions Required")</f>
        <v xml:space="preserve"> </v>
      </c>
    </row>
    <row r="53" spans="1:5" x14ac:dyDescent="0.25">
      <c r="A53" s="75" t="s">
        <v>97</v>
      </c>
      <c r="B53" s="76"/>
      <c r="C53" s="69" t="s">
        <v>634</v>
      </c>
      <c r="D53" s="77" t="s">
        <v>98</v>
      </c>
    </row>
    <row r="54" spans="1:5" x14ac:dyDescent="0.25">
      <c r="A54" s="75" t="s">
        <v>632</v>
      </c>
      <c r="B54" s="76" t="s">
        <v>631</v>
      </c>
      <c r="C54" s="218">
        <v>10</v>
      </c>
      <c r="D54" s="220" t="str">
        <f>IF($C$44="N"," ","Dimensions Required")</f>
        <v xml:space="preserve"> </v>
      </c>
    </row>
    <row r="55" spans="1:5" x14ac:dyDescent="0.25">
      <c r="A55" s="75" t="s">
        <v>176</v>
      </c>
      <c r="B55" s="76" t="s">
        <v>86</v>
      </c>
      <c r="C55" s="208">
        <f>C54*1.4</f>
        <v>14</v>
      </c>
      <c r="D55" s="77"/>
    </row>
    <row r="56" spans="1:5" x14ac:dyDescent="0.25">
      <c r="A56" s="75" t="s">
        <v>13</v>
      </c>
      <c r="B56" s="76"/>
      <c r="C56" s="83" t="s">
        <v>99</v>
      </c>
      <c r="D56" s="77" t="s">
        <v>81</v>
      </c>
    </row>
    <row r="57" spans="1:5" x14ac:dyDescent="0.25">
      <c r="A57" s="75" t="s">
        <v>627</v>
      </c>
      <c r="B57" s="75" t="s">
        <v>72</v>
      </c>
      <c r="C57" s="207">
        <f>179/2</f>
        <v>89.5</v>
      </c>
      <c r="D57" s="220" t="str">
        <f>IF($C$45="N"," ","Dimensions Required")</f>
        <v xml:space="preserve"> </v>
      </c>
    </row>
    <row r="58" spans="1:5" x14ac:dyDescent="0.25">
      <c r="A58" s="75" t="s">
        <v>628</v>
      </c>
      <c r="B58" s="75" t="s">
        <v>72</v>
      </c>
      <c r="C58" s="207">
        <f>46+37</f>
        <v>83</v>
      </c>
      <c r="D58" s="220" t="str">
        <f>IF($C$45="N"," ","Dimensions Required")</f>
        <v xml:space="preserve"> </v>
      </c>
    </row>
    <row r="59" spans="1:5" x14ac:dyDescent="0.25">
      <c r="A59" s="75" t="s">
        <v>633</v>
      </c>
      <c r="B59" s="76" t="s">
        <v>631</v>
      </c>
      <c r="C59" s="218">
        <v>125</v>
      </c>
      <c r="D59" s="220" t="str">
        <f>IF($C$45="N"," ","Dimensions Required")</f>
        <v xml:space="preserve"> </v>
      </c>
    </row>
    <row r="60" spans="1:5" x14ac:dyDescent="0.25">
      <c r="A60" s="75" t="s">
        <v>630</v>
      </c>
      <c r="B60" s="76" t="s">
        <v>86</v>
      </c>
      <c r="C60" s="208">
        <f>C59*1.4</f>
        <v>175</v>
      </c>
      <c r="D60" s="77"/>
    </row>
    <row r="61" spans="1:5" x14ac:dyDescent="0.25">
      <c r="A61" s="75"/>
      <c r="B61" s="76"/>
      <c r="C61" s="76"/>
      <c r="D61" s="77"/>
    </row>
    <row r="62" spans="1:5" x14ac:dyDescent="0.25">
      <c r="A62" s="125" t="s">
        <v>443</v>
      </c>
      <c r="B62" s="76"/>
      <c r="C62" s="76"/>
      <c r="D62" s="77"/>
    </row>
    <row r="63" spans="1:5" x14ac:dyDescent="0.25">
      <c r="A63" s="75" t="s">
        <v>614</v>
      </c>
      <c r="B63" s="76"/>
      <c r="C63" s="76" t="s">
        <v>201</v>
      </c>
      <c r="D63" s="77" t="s">
        <v>81</v>
      </c>
    </row>
    <row r="64" spans="1:5" x14ac:dyDescent="0.25">
      <c r="A64" s="75" t="s">
        <v>616</v>
      </c>
      <c r="B64" s="76"/>
      <c r="C64" s="76" t="s">
        <v>279</v>
      </c>
      <c r="D64" s="77" t="s">
        <v>81</v>
      </c>
    </row>
    <row r="65" spans="1:5" x14ac:dyDescent="0.25">
      <c r="A65" s="75" t="s">
        <v>617</v>
      </c>
      <c r="B65" s="76"/>
      <c r="C65" s="76" t="s">
        <v>280</v>
      </c>
      <c r="D65" s="77" t="s">
        <v>81</v>
      </c>
    </row>
    <row r="66" spans="1:5" x14ac:dyDescent="0.25">
      <c r="A66" s="75" t="s">
        <v>281</v>
      </c>
      <c r="B66" s="76"/>
      <c r="C66" s="76" t="s">
        <v>603</v>
      </c>
      <c r="D66" s="77" t="s">
        <v>81</v>
      </c>
    </row>
    <row r="67" spans="1:5" x14ac:dyDescent="0.25">
      <c r="A67" s="75" t="s">
        <v>618</v>
      </c>
      <c r="B67" s="76"/>
      <c r="C67" s="76" t="s">
        <v>282</v>
      </c>
      <c r="D67" s="77" t="s">
        <v>81</v>
      </c>
    </row>
    <row r="68" spans="1:5" x14ac:dyDescent="0.25">
      <c r="A68" s="75" t="s">
        <v>619</v>
      </c>
      <c r="B68" s="75"/>
      <c r="C68" s="76" t="s">
        <v>283</v>
      </c>
      <c r="D68" s="77" t="s">
        <v>81</v>
      </c>
    </row>
    <row r="69" spans="1:5" x14ac:dyDescent="0.25">
      <c r="A69" s="75" t="s">
        <v>625</v>
      </c>
      <c r="B69" s="75"/>
      <c r="C69" s="75" t="str">
        <f>Backup!C58</f>
        <v>Medium automatic window patcher</v>
      </c>
      <c r="D69" s="77" t="s">
        <v>81</v>
      </c>
    </row>
    <row r="70" spans="1:5" x14ac:dyDescent="0.25">
      <c r="A70" s="75"/>
      <c r="B70" s="75"/>
      <c r="C70" s="75"/>
    </row>
    <row r="71" spans="1:5" x14ac:dyDescent="0.25">
      <c r="A71" s="73" t="s">
        <v>28</v>
      </c>
      <c r="B71" s="75"/>
    </row>
    <row r="72" spans="1:5" x14ac:dyDescent="0.25">
      <c r="A72" s="66" t="s">
        <v>17</v>
      </c>
      <c r="B72" s="66" t="str">
        <f>$C$5&amp;" /KWH"</f>
        <v>INR /KWH</v>
      </c>
      <c r="C72" s="185">
        <f>IF(D72=0,VLOOKUP($C$4,_xlnm.Database,MATCH($A72,Database!$A$10:$P$10,0),0),D72)</f>
        <v>10.72</v>
      </c>
      <c r="D72" s="88"/>
      <c r="E72" s="77" t="s">
        <v>100</v>
      </c>
    </row>
    <row r="73" spans="1:5" x14ac:dyDescent="0.25">
      <c r="E73" s="77"/>
    </row>
    <row r="74" spans="1:5" x14ac:dyDescent="0.25">
      <c r="A74" s="73" t="s">
        <v>101</v>
      </c>
      <c r="E74" s="77"/>
    </row>
    <row r="75" spans="1:5" x14ac:dyDescent="0.25">
      <c r="A75" s="66" t="s">
        <v>102</v>
      </c>
      <c r="B75" s="66" t="str">
        <f>$C$5&amp;" /Annum"</f>
        <v>INR /Annum</v>
      </c>
      <c r="C75" s="186">
        <f>IF(D75=0,VLOOKUP($C$4,_xlnm.Database,MATCH($A75,Database!$A$10:$P$10,0),0),D75)</f>
        <v>541800</v>
      </c>
      <c r="D75" s="88"/>
      <c r="E75" s="77" t="s">
        <v>100</v>
      </c>
    </row>
    <row r="76" spans="1:5" x14ac:dyDescent="0.25">
      <c r="A76" s="66" t="s">
        <v>103</v>
      </c>
      <c r="B76" s="66" t="str">
        <f>$C$5&amp;" /Annum"</f>
        <v>INR /Annum</v>
      </c>
      <c r="C76" s="186">
        <f>IF(D76=0,VLOOKUP($C$4,_xlnm.Database,MATCH($A76,Database!$A$10:$P$10,0),0),D76)</f>
        <v>1260000</v>
      </c>
      <c r="D76" s="88"/>
      <c r="E76" s="77" t="s">
        <v>100</v>
      </c>
    </row>
    <row r="77" spans="1:5" x14ac:dyDescent="0.25">
      <c r="A77" s="66" t="s">
        <v>104</v>
      </c>
      <c r="B77" s="66" t="str">
        <f>$C$5&amp;" /Annum"</f>
        <v>INR /Annum</v>
      </c>
      <c r="C77" s="186">
        <f>IF(D77=0,VLOOKUP($C$4,_xlnm.Database,MATCH($A77,Database!$A$10:$P$10,0),0),D77)</f>
        <v>1890000</v>
      </c>
      <c r="D77" s="88"/>
      <c r="E77" s="77" t="s">
        <v>100</v>
      </c>
    </row>
    <row r="78" spans="1:5" x14ac:dyDescent="0.25">
      <c r="A78" s="66" t="s">
        <v>105</v>
      </c>
      <c r="C78" s="182">
        <v>3</v>
      </c>
      <c r="E78" s="77"/>
    </row>
    <row r="79" spans="1:5" x14ac:dyDescent="0.25">
      <c r="C79" s="79"/>
      <c r="E79" s="77"/>
    </row>
    <row r="80" spans="1:5" x14ac:dyDescent="0.25">
      <c r="A80" s="73" t="s">
        <v>106</v>
      </c>
      <c r="E80" s="77"/>
    </row>
    <row r="81" spans="1:5" x14ac:dyDescent="0.25">
      <c r="A81" s="66" t="s">
        <v>20</v>
      </c>
      <c r="B81" s="66" t="s">
        <v>107</v>
      </c>
      <c r="C81" s="187">
        <v>0.02</v>
      </c>
      <c r="E81" s="77"/>
    </row>
    <row r="82" spans="1:5" x14ac:dyDescent="0.25">
      <c r="A82" s="66" t="s">
        <v>21</v>
      </c>
      <c r="B82" s="66" t="s">
        <v>107</v>
      </c>
      <c r="C82" s="187">
        <v>0.02</v>
      </c>
      <c r="E82" s="77"/>
    </row>
    <row r="83" spans="1:5" x14ac:dyDescent="0.25">
      <c r="C83" s="81"/>
      <c r="E83" s="77"/>
    </row>
    <row r="84" spans="1:5" x14ac:dyDescent="0.25">
      <c r="A84" s="73" t="s">
        <v>108</v>
      </c>
      <c r="C84" s="81"/>
      <c r="E84" s="77"/>
    </row>
    <row r="85" spans="1:5" x14ac:dyDescent="0.25">
      <c r="A85" s="66" t="s">
        <v>23</v>
      </c>
      <c r="B85" s="66" t="s">
        <v>109</v>
      </c>
      <c r="C85" s="188">
        <f>IF(D85=0,VLOOKUP($C$4,_xlnm.Database,MATCH($A85,Database!$A$10:$P$10,0),0),D85)</f>
        <v>0.15</v>
      </c>
      <c r="D85" s="88"/>
      <c r="E85" s="77" t="s">
        <v>100</v>
      </c>
    </row>
    <row r="86" spans="1:5" x14ac:dyDescent="0.25">
      <c r="A86" s="66" t="s">
        <v>110</v>
      </c>
      <c r="B86" s="66" t="s">
        <v>111</v>
      </c>
      <c r="C86" s="74">
        <v>5</v>
      </c>
      <c r="E86" s="77"/>
    </row>
    <row r="87" spans="1:5" x14ac:dyDescent="0.25">
      <c r="A87" s="66" t="s">
        <v>112</v>
      </c>
      <c r="B87" s="66" t="s">
        <v>109</v>
      </c>
      <c r="C87" s="188">
        <f>IF(D87=0,VLOOKUP($C$4,_xlnm.Database,MATCH($A87,Database!$A$10:$P$10,0),0),D87)</f>
        <v>0.1</v>
      </c>
      <c r="D87" s="88"/>
      <c r="E87" s="77" t="s">
        <v>100</v>
      </c>
    </row>
    <row r="88" spans="1:5" x14ac:dyDescent="0.25">
      <c r="C88" s="80"/>
      <c r="E88" s="77"/>
    </row>
    <row r="89" spans="1:5" x14ac:dyDescent="0.25">
      <c r="A89" s="73" t="s">
        <v>113</v>
      </c>
      <c r="C89" s="80"/>
      <c r="E89" s="77"/>
    </row>
    <row r="90" spans="1:5" x14ac:dyDescent="0.25">
      <c r="A90" s="75" t="s">
        <v>114</v>
      </c>
      <c r="B90" s="75" t="s">
        <v>115</v>
      </c>
      <c r="C90" s="144">
        <f>IF(D90=0,VLOOKUP($C$4,_xlnm.Database,MATCH($A90,Database!$A$10:$P$10,0),0),D90)</f>
        <v>14833.58</v>
      </c>
      <c r="D90" s="88"/>
      <c r="E90" s="77" t="s">
        <v>100</v>
      </c>
    </row>
    <row r="91" spans="1:5" x14ac:dyDescent="0.25">
      <c r="A91" s="75" t="s">
        <v>116</v>
      </c>
      <c r="B91" s="75" t="s">
        <v>115</v>
      </c>
      <c r="C91" s="144">
        <f>IF(D91=0,VLOOKUP($C$4,_xlnm.Database,MATCH($A91,Database!$A$10:$P$10,0),0),D91)</f>
        <v>36681.160000000003</v>
      </c>
      <c r="D91" s="88"/>
      <c r="E91" s="77" t="s">
        <v>100</v>
      </c>
    </row>
    <row r="92" spans="1:5" x14ac:dyDescent="0.25">
      <c r="A92" s="75" t="s">
        <v>117</v>
      </c>
      <c r="B92" s="75" t="s">
        <v>115</v>
      </c>
      <c r="C92" s="144">
        <f>IF(D92=0,VLOOKUP($C$4,_xlnm.Database,MATCH($A92,Database!$A$10:$P$10,0),0),D92)</f>
        <v>1560.6</v>
      </c>
      <c r="D92" s="88"/>
      <c r="E92" s="77" t="s">
        <v>100</v>
      </c>
    </row>
    <row r="93" spans="1:5" x14ac:dyDescent="0.25">
      <c r="A93" s="75" t="s">
        <v>118</v>
      </c>
      <c r="B93" s="75"/>
      <c r="C93" s="76" t="s">
        <v>119</v>
      </c>
      <c r="D93" s="77" t="s">
        <v>81</v>
      </c>
      <c r="E93" s="77"/>
    </row>
    <row r="94" spans="1:5" x14ac:dyDescent="0.25">
      <c r="C94" s="80"/>
      <c r="E94" s="77"/>
    </row>
    <row r="95" spans="1:5" x14ac:dyDescent="0.25">
      <c r="A95" s="73" t="s">
        <v>120</v>
      </c>
      <c r="E95" s="77"/>
    </row>
    <row r="96" spans="1:5" x14ac:dyDescent="0.25">
      <c r="A96" s="66" t="s">
        <v>121</v>
      </c>
      <c r="B96" s="66" t="s">
        <v>109</v>
      </c>
      <c r="C96" s="102">
        <f>IF(D96=0,VLOOKUP($C$4,_xlnm.Database,MATCH($A96,Database!$A$10:$P$10,0),0),D96)</f>
        <v>0.125</v>
      </c>
      <c r="D96" s="88"/>
      <c r="E96" s="77" t="s">
        <v>100</v>
      </c>
    </row>
    <row r="97" spans="1:7" x14ac:dyDescent="0.25">
      <c r="A97" s="66" t="s">
        <v>122</v>
      </c>
      <c r="B97" s="66" t="s">
        <v>109</v>
      </c>
      <c r="C97" s="102">
        <f>IF(D97=0,VLOOKUP($C$4,_xlnm.Database,MATCH($A97,Database!$A$10:$P$10,0),0),D97)</f>
        <v>0.14000000000000001</v>
      </c>
      <c r="D97" s="88"/>
      <c r="E97" s="77" t="s">
        <v>100</v>
      </c>
    </row>
    <row r="98" spans="1:7" x14ac:dyDescent="0.25">
      <c r="A98" s="66" t="s">
        <v>6</v>
      </c>
      <c r="B98" s="66" t="s">
        <v>109</v>
      </c>
      <c r="C98" s="189">
        <v>0.2</v>
      </c>
      <c r="E98" s="77"/>
    </row>
    <row r="99" spans="1:7" x14ac:dyDescent="0.25">
      <c r="A99" s="66" t="s">
        <v>123</v>
      </c>
      <c r="B99" s="66" t="s">
        <v>109</v>
      </c>
      <c r="C99" s="189">
        <v>0.7</v>
      </c>
      <c r="E99" s="77"/>
    </row>
    <row r="100" spans="1:7" x14ac:dyDescent="0.25">
      <c r="E100" s="77"/>
    </row>
    <row r="101" spans="1:7" x14ac:dyDescent="0.25">
      <c r="A101" s="73" t="s">
        <v>124</v>
      </c>
      <c r="E101" s="77"/>
    </row>
    <row r="102" spans="1:7" x14ac:dyDescent="0.25">
      <c r="A102" s="66" t="s">
        <v>125</v>
      </c>
      <c r="B102" s="72" t="s">
        <v>66</v>
      </c>
      <c r="C102" s="190">
        <v>1500</v>
      </c>
      <c r="E102" s="77"/>
    </row>
    <row r="103" spans="1:7" x14ac:dyDescent="0.25">
      <c r="A103" s="66" t="s">
        <v>126</v>
      </c>
      <c r="B103" s="72" t="s">
        <v>66</v>
      </c>
      <c r="C103" s="190">
        <v>0</v>
      </c>
      <c r="E103" s="77"/>
    </row>
    <row r="104" spans="1:7" x14ac:dyDescent="0.25">
      <c r="A104" s="66" t="s">
        <v>127</v>
      </c>
      <c r="B104" s="72" t="s">
        <v>66</v>
      </c>
      <c r="C104" s="197">
        <f>IF(C9/C102&gt;300,300,C9/C102)</f>
        <v>173.71944444444443</v>
      </c>
      <c r="E104" s="77"/>
    </row>
    <row r="105" spans="1:7" x14ac:dyDescent="0.25">
      <c r="E105" s="77"/>
    </row>
    <row r="106" spans="1:7" x14ac:dyDescent="0.25">
      <c r="A106" s="73" t="s">
        <v>128</v>
      </c>
      <c r="E106" s="77"/>
    </row>
    <row r="107" spans="1:7" x14ac:dyDescent="0.25">
      <c r="A107" s="66" t="s">
        <v>129</v>
      </c>
      <c r="C107" s="74" t="s">
        <v>130</v>
      </c>
      <c r="E107" s="77"/>
    </row>
    <row r="108" spans="1:7" x14ac:dyDescent="0.25">
      <c r="A108" s="66" t="s">
        <v>131</v>
      </c>
      <c r="B108" s="66" t="s">
        <v>132</v>
      </c>
      <c r="C108" s="190">
        <v>13000</v>
      </c>
      <c r="E108" s="77"/>
    </row>
    <row r="109" spans="1:7" x14ac:dyDescent="0.25">
      <c r="A109" s="66" t="s">
        <v>133</v>
      </c>
      <c r="B109" s="66" t="str">
        <f>$C$5&amp;"/ Container"</f>
        <v>INR/ Container</v>
      </c>
      <c r="C109" s="114">
        <f>230*C113</f>
        <v>20010</v>
      </c>
      <c r="E109" s="77"/>
    </row>
    <row r="110" spans="1:7" x14ac:dyDescent="0.25">
      <c r="E110" s="77"/>
    </row>
    <row r="111" spans="1:7" x14ac:dyDescent="0.25">
      <c r="A111" s="73" t="s">
        <v>134</v>
      </c>
      <c r="E111" s="77"/>
    </row>
    <row r="112" spans="1:7" x14ac:dyDescent="0.25">
      <c r="A112" s="66" t="s">
        <v>135</v>
      </c>
      <c r="B112" s="66" t="str">
        <f>$C$5</f>
        <v>INR</v>
      </c>
      <c r="C112" s="144">
        <f>IF(D112=0,VLOOKUP($C$4,_xlnm.Database,MATCH($A112,Database!$A$10:$P$10,0),0),D112)</f>
        <v>104.27</v>
      </c>
      <c r="D112" s="88"/>
      <c r="E112" s="77" t="s">
        <v>100</v>
      </c>
      <c r="G112" s="113"/>
    </row>
    <row r="113" spans="1:5" x14ac:dyDescent="0.25">
      <c r="A113" s="66" t="s">
        <v>136</v>
      </c>
      <c r="B113" s="66" t="str">
        <f>$C$5</f>
        <v>INR</v>
      </c>
      <c r="C113" s="144">
        <f>IF(D113=0,VLOOKUP($C$4,_xlnm.Database,MATCH($A113,Database!$A$10:$P$10,0),0),D113)</f>
        <v>87</v>
      </c>
      <c r="D113" s="88"/>
      <c r="E113" s="77" t="s">
        <v>100</v>
      </c>
    </row>
    <row r="114" spans="1:5" x14ac:dyDescent="0.25">
      <c r="E114" s="77"/>
    </row>
    <row r="115" spans="1:5" x14ac:dyDescent="0.25">
      <c r="A115" s="73" t="s">
        <v>137</v>
      </c>
      <c r="E115" s="77"/>
    </row>
    <row r="116" spans="1:5" x14ac:dyDescent="0.25">
      <c r="A116" s="66" t="s">
        <v>138</v>
      </c>
      <c r="B116" s="66" t="s">
        <v>139</v>
      </c>
      <c r="C116" s="74">
        <v>45</v>
      </c>
      <c r="E116" s="77"/>
    </row>
    <row r="117" spans="1:5" x14ac:dyDescent="0.25">
      <c r="A117" s="66" t="s">
        <v>140</v>
      </c>
      <c r="B117" s="66" t="s">
        <v>139</v>
      </c>
      <c r="C117" s="74">
        <v>60</v>
      </c>
      <c r="E117" s="77"/>
    </row>
    <row r="118" spans="1:5" x14ac:dyDescent="0.25">
      <c r="E118" s="77"/>
    </row>
    <row r="119" spans="1:5" x14ac:dyDescent="0.25">
      <c r="A119" s="73" t="s">
        <v>141</v>
      </c>
      <c r="C119" s="66"/>
      <c r="E119" s="77"/>
    </row>
    <row r="120" spans="1:5" x14ac:dyDescent="0.25">
      <c r="A120" s="25" t="s">
        <v>142</v>
      </c>
      <c r="B120" s="82" t="s">
        <v>143</v>
      </c>
      <c r="C120" s="74">
        <v>45</v>
      </c>
      <c r="E120" s="77"/>
    </row>
    <row r="121" spans="1:5" x14ac:dyDescent="0.25">
      <c r="A121" s="25" t="s">
        <v>144</v>
      </c>
      <c r="B121" s="82" t="s">
        <v>143</v>
      </c>
      <c r="C121" s="74">
        <v>7</v>
      </c>
      <c r="E121" s="77"/>
    </row>
    <row r="122" spans="1:5" x14ac:dyDescent="0.25">
      <c r="E122" s="77"/>
    </row>
    <row r="123" spans="1:5" x14ac:dyDescent="0.25">
      <c r="E123" s="77"/>
    </row>
    <row r="124" spans="1:5" x14ac:dyDescent="0.25">
      <c r="E124" s="77"/>
    </row>
    <row r="125" spans="1:5" x14ac:dyDescent="0.25">
      <c r="E125" s="77"/>
    </row>
    <row r="126" spans="1:5" x14ac:dyDescent="0.25">
      <c r="E126" s="77"/>
    </row>
    <row r="127" spans="1:5" x14ac:dyDescent="0.25">
      <c r="E127" s="77"/>
    </row>
    <row r="128" spans="1:5" x14ac:dyDescent="0.25">
      <c r="E128" s="77"/>
    </row>
    <row r="129" spans="5:5" x14ac:dyDescent="0.25">
      <c r="E129" s="77"/>
    </row>
    <row r="130" spans="5:5" x14ac:dyDescent="0.25">
      <c r="E130" s="77"/>
    </row>
    <row r="131" spans="5:5" x14ac:dyDescent="0.25">
      <c r="E131" s="77"/>
    </row>
    <row r="311" spans="1:1" x14ac:dyDescent="0.25">
      <c r="A311" s="66" t="s">
        <v>118</v>
      </c>
    </row>
    <row r="312" spans="1:1" x14ac:dyDescent="0.25">
      <c r="A312" s="66" t="s">
        <v>119</v>
      </c>
    </row>
    <row r="313" spans="1:1" x14ac:dyDescent="0.25">
      <c r="A313" s="66" t="s">
        <v>145</v>
      </c>
    </row>
  </sheetData>
  <dataValidations count="1">
    <dataValidation type="list" allowBlank="1" showInputMessage="1" showErrorMessage="1" sqref="C35" xr:uid="{002B7E8F-F6FE-43DA-8421-43A4491D8D98}">
      <formula1>"Long,Short"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8DB6E5CF-E5EA-4AFF-95D5-376CE6FCEE90}">
          <x14:formula1>
            <xm:f>Backup!$B$135:$B$136</xm:f>
          </x14:formula1>
          <xm:sqref>C93</xm:sqref>
        </x14:dataValidation>
        <x14:dataValidation type="list" allowBlank="1" showInputMessage="1" showErrorMessage="1" xr:uid="{98DBF3EB-EB9F-45DF-B813-A44749DB1925}">
          <x14:formula1>
            <xm:f>Backup!$B$131:$B$132</xm:f>
          </x14:formula1>
          <xm:sqref>C42:C45 C38</xm:sqref>
        </x14:dataValidation>
        <x14:dataValidation type="list" allowBlank="1" showInputMessage="1" showErrorMessage="1" xr:uid="{B5FBA9FB-B686-4F21-B52F-7F13E93A90AD}">
          <x14:formula1>
            <xm:f>Backup!$B$117:$B$119</xm:f>
          </x14:formula1>
          <xm:sqref>C34</xm:sqref>
        </x14:dataValidation>
        <x14:dataValidation type="list" allowBlank="1" showInputMessage="1" showErrorMessage="1" xr:uid="{FED58068-9896-45DF-A6BD-BDC346DC873E}">
          <x14:formula1>
            <xm:f>Backup!$B$141:$B$150</xm:f>
          </x14:formula1>
          <xm:sqref>C48:C49 C56</xm:sqref>
        </x14:dataValidation>
        <x14:dataValidation type="list" allowBlank="1" showInputMessage="1" showErrorMessage="1" xr:uid="{AF206DDD-CF04-40CE-A554-6EB6CA5698FC}">
          <x14:formula1>
            <xm:f>Database!$A$11:$A$45</xm:f>
          </x14:formula1>
          <xm:sqref>C4</xm:sqref>
        </x14:dataValidation>
        <x14:dataValidation type="list" allowBlank="1" showInputMessage="1" showErrorMessage="1" xr:uid="{66D3C4A9-412E-4876-B2ED-B2D1DFF4A189}">
          <x14:formula1>
            <xm:f>Backup!$C$20:$C$29</xm:f>
          </x14:formula1>
          <xm:sqref>C63</xm:sqref>
        </x14:dataValidation>
        <x14:dataValidation type="list" allowBlank="1" showInputMessage="1" showErrorMessage="1" xr:uid="{8C714506-2CF9-4141-BFB9-4E706423CBA6}">
          <x14:formula1>
            <xm:f>Backup!$C$31:$C$37</xm:f>
          </x14:formula1>
          <xm:sqref>C64</xm:sqref>
        </x14:dataValidation>
        <x14:dataValidation type="list" allowBlank="1" showInputMessage="1" showErrorMessage="1" xr:uid="{76354A86-2994-4BDB-982A-C6722A161C43}">
          <x14:formula1>
            <xm:f>Backup!$C$39</xm:f>
          </x14:formula1>
          <xm:sqref>C65</xm:sqref>
        </x14:dataValidation>
        <x14:dataValidation type="list" allowBlank="1" showInputMessage="1" showErrorMessage="1" xr:uid="{5B5E24C3-21F5-43BF-8582-584857C5C3EF}">
          <x14:formula1>
            <xm:f>Backup!$C$41:$C$51</xm:f>
          </x14:formula1>
          <xm:sqref>C66</xm:sqref>
        </x14:dataValidation>
        <x14:dataValidation type="list" allowBlank="1" showInputMessage="1" showErrorMessage="1" xr:uid="{E49E0E2C-ACC4-4CD7-B49F-9BA16D20EC98}">
          <x14:formula1>
            <xm:f>Backup!$C$53:$C$54</xm:f>
          </x14:formula1>
          <xm:sqref>C67</xm:sqref>
        </x14:dataValidation>
        <x14:dataValidation type="list" allowBlank="1" showInputMessage="1" showErrorMessage="1" xr:uid="{568372CD-5715-4CA0-91BC-32C56662DAC2}">
          <x14:formula1>
            <xm:f>Backup!$C$56</xm:f>
          </x14:formula1>
          <xm:sqref>C68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10C8F-6ABB-46AB-84B4-81954CC34A62}">
  <dimension ref="A3:H105"/>
  <sheetViews>
    <sheetView showGridLines="0" topLeftCell="A22" workbookViewId="0">
      <selection activeCell="D54" sqref="D54"/>
    </sheetView>
  </sheetViews>
  <sheetFormatPr defaultColWidth="12.7109375" defaultRowHeight="12" x14ac:dyDescent="0.25"/>
  <cols>
    <col min="1" max="1" width="8.7109375" style="1" customWidth="1"/>
    <col min="2" max="2" width="24.140625" customWidth="1"/>
    <col min="3" max="3" width="20.42578125" customWidth="1"/>
    <col min="4" max="4" width="16.140625" customWidth="1"/>
  </cols>
  <sheetData>
    <row r="3" spans="2:4" x14ac:dyDescent="0.25">
      <c r="B3" s="1"/>
      <c r="C3" s="1"/>
      <c r="D3" s="1">
        <v>1</v>
      </c>
    </row>
    <row r="4" spans="2:4" x14ac:dyDescent="0.25">
      <c r="B4" s="11" t="s">
        <v>52</v>
      </c>
      <c r="C4" s="11" t="s">
        <v>146</v>
      </c>
      <c r="D4" s="11" t="str">
        <f>_xlfn.XLOOKUP($B4,Input!A:A,Input!C:C,0)</f>
        <v>xxxx</v>
      </c>
    </row>
    <row r="5" spans="2:4" x14ac:dyDescent="0.25">
      <c r="B5" s="11" t="s">
        <v>54</v>
      </c>
      <c r="C5" s="11"/>
      <c r="D5" s="11">
        <f>_xlfn.XLOOKUP($B5,Input!A:A,Input!C:C,0)</f>
        <v>0</v>
      </c>
    </row>
    <row r="6" spans="2:4" x14ac:dyDescent="0.25">
      <c r="B6" s="5" t="s">
        <v>147</v>
      </c>
      <c r="C6" s="3"/>
      <c r="D6" s="31"/>
    </row>
    <row r="7" spans="2:4" x14ac:dyDescent="0.25">
      <c r="B7" s="3" t="s">
        <v>148</v>
      </c>
      <c r="C7" s="3" t="s">
        <v>72</v>
      </c>
      <c r="D7" s="8">
        <f>_xlfn.XLOOKUP($B7,Conversion!B:B,Conversion!D:D,0)</f>
        <v>178.3</v>
      </c>
    </row>
    <row r="8" spans="2:4" x14ac:dyDescent="0.25">
      <c r="B8" s="3" t="s">
        <v>149</v>
      </c>
      <c r="C8" s="3" t="s">
        <v>72</v>
      </c>
      <c r="D8" s="8">
        <f>_xlfn.XLOOKUP($B8,Conversion!B:B,Conversion!D:D,0)</f>
        <v>275.89999999999998</v>
      </c>
    </row>
    <row r="9" spans="2:4" x14ac:dyDescent="0.25">
      <c r="B9" s="4" t="s">
        <v>150</v>
      </c>
      <c r="C9" s="4" t="s">
        <v>151</v>
      </c>
      <c r="D9" s="8">
        <f>D7*D8/10^6</f>
        <v>4.9192970000000003E-2</v>
      </c>
    </row>
    <row r="10" spans="2:4" x14ac:dyDescent="0.25">
      <c r="B10" s="4"/>
      <c r="C10" s="4"/>
      <c r="D10" s="4"/>
    </row>
    <row r="11" spans="2:4" x14ac:dyDescent="0.25">
      <c r="B11" s="5" t="s">
        <v>152</v>
      </c>
      <c r="C11" s="3"/>
      <c r="D11" s="3"/>
    </row>
    <row r="12" spans="2:4" x14ac:dyDescent="0.25">
      <c r="B12" s="26" t="s">
        <v>153</v>
      </c>
      <c r="C12" s="3" t="s">
        <v>72</v>
      </c>
      <c r="D12" s="8">
        <f>_xlfn.XLOOKUP($B12,Conversion!B:B,Conversion!D:D,0)</f>
        <v>906.5</v>
      </c>
    </row>
    <row r="13" spans="2:4" x14ac:dyDescent="0.25">
      <c r="B13" s="26" t="s">
        <v>154</v>
      </c>
      <c r="C13" s="3" t="s">
        <v>72</v>
      </c>
      <c r="D13" s="8">
        <f>_xlfn.XLOOKUP($B13,Conversion!B:B,Conversion!D:D,0)</f>
        <v>561.79999999999995</v>
      </c>
    </row>
    <row r="14" spans="2:4" x14ac:dyDescent="0.25">
      <c r="B14" s="4" t="s">
        <v>155</v>
      </c>
      <c r="C14" s="4" t="s">
        <v>151</v>
      </c>
      <c r="D14" s="8">
        <f>D12*D13/10^6</f>
        <v>0.50927169999999999</v>
      </c>
    </row>
    <row r="15" spans="2:4" x14ac:dyDescent="0.25">
      <c r="B15" s="3"/>
      <c r="C15" s="3"/>
      <c r="D15" s="3"/>
    </row>
    <row r="16" spans="2:4" x14ac:dyDescent="0.25">
      <c r="B16" s="4" t="s">
        <v>156</v>
      </c>
      <c r="C16" s="4" t="s">
        <v>66</v>
      </c>
      <c r="D16" s="8">
        <f>_xlfn.XLOOKUP($B16,Conversion!B:B,Conversion!D:D,0)</f>
        <v>10</v>
      </c>
    </row>
    <row r="17" spans="1:8" x14ac:dyDescent="0.25">
      <c r="B17" s="4"/>
      <c r="C17" s="4"/>
      <c r="D17" s="4"/>
    </row>
    <row r="18" spans="1:8" x14ac:dyDescent="0.25">
      <c r="B18" s="5" t="s">
        <v>157</v>
      </c>
      <c r="C18" s="3"/>
      <c r="D18" s="8"/>
    </row>
    <row r="19" spans="1:8" x14ac:dyDescent="0.25">
      <c r="B19" s="3" t="s">
        <v>84</v>
      </c>
      <c r="C19" s="3"/>
      <c r="D19" s="8">
        <f>_xlfn.XLOOKUP($B19,Input!A:A,Input!C:C,0)</f>
        <v>0</v>
      </c>
    </row>
    <row r="20" spans="1:8" x14ac:dyDescent="0.25">
      <c r="B20" s="26" t="s">
        <v>85</v>
      </c>
      <c r="C20" s="3" t="s">
        <v>86</v>
      </c>
      <c r="D20" s="8">
        <f>_xlfn.XLOOKUP($B20,Input!A:A,Input!C:C,0)</f>
        <v>300</v>
      </c>
    </row>
    <row r="21" spans="1:8" x14ac:dyDescent="0.25">
      <c r="B21" s="3" t="s">
        <v>158</v>
      </c>
      <c r="C21" s="3" t="s">
        <v>159</v>
      </c>
      <c r="D21" s="8">
        <f>D14*(D20/1000)/(D16/1000)</f>
        <v>15.278150999999998</v>
      </c>
      <c r="G21" s="37"/>
      <c r="H21" s="37"/>
    </row>
    <row r="22" spans="1:8" x14ac:dyDescent="0.25">
      <c r="B22" s="3" t="s">
        <v>56</v>
      </c>
      <c r="C22" s="3" t="str">
        <f>Input!$C$5&amp; " /Kg"</f>
        <v>INR /Kg</v>
      </c>
      <c r="D22" s="8">
        <f>_xlfn.XLOOKUP($B22,Input!A:A,Input!C:C,0)</f>
        <v>45</v>
      </c>
    </row>
    <row r="23" spans="1:8" x14ac:dyDescent="0.25">
      <c r="A23" s="1" t="s">
        <v>160</v>
      </c>
      <c r="B23" s="4" t="s">
        <v>161</v>
      </c>
      <c r="C23" s="4" t="str">
        <f>Input!$C$5&amp;"/1000 Cartons"</f>
        <v>INR/1000 Cartons</v>
      </c>
      <c r="D23" s="8">
        <f>D21*D22</f>
        <v>687.51679499999989</v>
      </c>
    </row>
    <row r="24" spans="1:8" x14ac:dyDescent="0.25">
      <c r="B24" s="3"/>
      <c r="C24" s="3"/>
      <c r="D24" s="3"/>
    </row>
    <row r="25" spans="1:8" x14ac:dyDescent="0.25">
      <c r="B25" s="5" t="s">
        <v>11</v>
      </c>
      <c r="C25" s="3"/>
      <c r="D25" s="8"/>
    </row>
    <row r="26" spans="1:8" x14ac:dyDescent="0.25">
      <c r="B26" s="3" t="s">
        <v>162</v>
      </c>
      <c r="C26" s="3"/>
      <c r="D26" s="8" t="s">
        <v>163</v>
      </c>
    </row>
    <row r="27" spans="1:8" x14ac:dyDescent="0.25">
      <c r="B27" s="3" t="s">
        <v>58</v>
      </c>
      <c r="C27" s="3" t="str">
        <f>Input!$C$5&amp; " /Kg"</f>
        <v>INR /Kg</v>
      </c>
      <c r="D27" s="8">
        <f>_xlfn.XLOOKUP($B27,Input!A:A,Input!C:C,0)</f>
        <v>834.16</v>
      </c>
    </row>
    <row r="28" spans="1:8" x14ac:dyDescent="0.25">
      <c r="B28" s="3" t="s">
        <v>164</v>
      </c>
      <c r="C28" s="3" t="s">
        <v>86</v>
      </c>
      <c r="D28" s="206">
        <v>2</v>
      </c>
    </row>
    <row r="29" spans="1:8" x14ac:dyDescent="0.25">
      <c r="B29" s="3" t="s">
        <v>165</v>
      </c>
      <c r="C29" s="3" t="s">
        <v>166</v>
      </c>
      <c r="D29" s="8">
        <f>D28*($D$14/1000)/($D$16/1000)</f>
        <v>0.10185433999999999</v>
      </c>
    </row>
    <row r="30" spans="1:8" x14ac:dyDescent="0.25">
      <c r="A30" s="1" t="s">
        <v>160</v>
      </c>
      <c r="B30" s="4" t="s">
        <v>167</v>
      </c>
      <c r="C30" s="4" t="str">
        <f>Input!$C$5&amp;"/1000 Carton"</f>
        <v>INR/1000 Carton</v>
      </c>
      <c r="D30" s="8">
        <f>D27*D29</f>
        <v>84.962816254399982</v>
      </c>
    </row>
    <row r="31" spans="1:8" x14ac:dyDescent="0.25">
      <c r="B31" s="3"/>
      <c r="C31" s="3"/>
      <c r="D31" s="3"/>
    </row>
    <row r="32" spans="1:8" x14ac:dyDescent="0.25">
      <c r="B32" s="5" t="s">
        <v>168</v>
      </c>
      <c r="C32" s="3"/>
      <c r="D32" s="8"/>
    </row>
    <row r="33" spans="1:4" x14ac:dyDescent="0.25">
      <c r="B33" s="26" t="s">
        <v>87</v>
      </c>
      <c r="C33" s="3"/>
      <c r="D33" s="8" t="str">
        <f>_xlfn.XLOOKUP($B33,Input!A:A,Input!C:C,0)</f>
        <v>UV varnish (Gloss)</v>
      </c>
    </row>
    <row r="34" spans="1:4" x14ac:dyDescent="0.25">
      <c r="B34" s="3" t="s">
        <v>59</v>
      </c>
      <c r="C34" s="3" t="str">
        <f>Input!$C$5&amp; " /Kg"</f>
        <v>INR /Kg</v>
      </c>
      <c r="D34" s="8">
        <f>_xlfn.XLOOKUP($B34,Input!A:A,Input!C:C,0)</f>
        <v>521.35</v>
      </c>
    </row>
    <row r="35" spans="1:4" x14ac:dyDescent="0.25">
      <c r="B35" s="3" t="s">
        <v>169</v>
      </c>
      <c r="C35" s="3" t="s">
        <v>86</v>
      </c>
      <c r="D35" s="206">
        <v>3</v>
      </c>
    </row>
    <row r="36" spans="1:4" x14ac:dyDescent="0.25">
      <c r="B36" s="3" t="s">
        <v>170</v>
      </c>
      <c r="C36" s="3" t="s">
        <v>166</v>
      </c>
      <c r="D36" s="56">
        <f>D35*($D$14/1000)/($D$16/1000)</f>
        <v>0.15278150999999998</v>
      </c>
    </row>
    <row r="37" spans="1:4" x14ac:dyDescent="0.25">
      <c r="A37" s="1" t="s">
        <v>160</v>
      </c>
      <c r="B37" s="4" t="s">
        <v>171</v>
      </c>
      <c r="C37" s="4" t="str">
        <f>Input!$C$5&amp;"/1000Cartons"</f>
        <v>INR/1000Cartons</v>
      </c>
      <c r="D37" s="8">
        <f>D34*D36</f>
        <v>79.652640238499998</v>
      </c>
    </row>
    <row r="38" spans="1:4" x14ac:dyDescent="0.25">
      <c r="B38" s="3"/>
      <c r="C38" s="3"/>
      <c r="D38" s="3"/>
    </row>
    <row r="39" spans="1:4" x14ac:dyDescent="0.25">
      <c r="B39" s="5" t="s">
        <v>89</v>
      </c>
      <c r="C39" s="3"/>
      <c r="D39" s="8" t="str">
        <f>Input!$C$42</f>
        <v>N</v>
      </c>
    </row>
    <row r="40" spans="1:4" x14ac:dyDescent="0.25">
      <c r="B40" s="26" t="s">
        <v>87</v>
      </c>
      <c r="C40" s="3"/>
      <c r="D40" s="8" t="str">
        <f>_xlfn.XLOOKUP($B40,Input!A:A,Input!C:C,0)</f>
        <v>UV varnish (Gloss)</v>
      </c>
    </row>
    <row r="41" spans="1:4" x14ac:dyDescent="0.25">
      <c r="B41" s="3" t="s">
        <v>59</v>
      </c>
      <c r="C41" s="3" t="str">
        <f>Input!$C$5&amp; " /Kg"</f>
        <v>INR /Kg</v>
      </c>
      <c r="D41" s="8">
        <f>_xlfn.XLOOKUP($B41,Input!A:A,Input!C:C,0)</f>
        <v>521.35</v>
      </c>
    </row>
    <row r="42" spans="1:4" x14ac:dyDescent="0.25">
      <c r="B42" s="3" t="s">
        <v>169</v>
      </c>
      <c r="C42" s="3" t="s">
        <v>86</v>
      </c>
      <c r="D42" s="206">
        <v>3</v>
      </c>
    </row>
    <row r="43" spans="1:4" x14ac:dyDescent="0.25">
      <c r="B43" s="3" t="s">
        <v>93</v>
      </c>
      <c r="C43" s="3" t="s">
        <v>109</v>
      </c>
      <c r="D43" s="191">
        <f>_xlfn.XLOOKUP($B43,Input!A:A,Input!C:C,0)</f>
        <v>0.3</v>
      </c>
    </row>
    <row r="44" spans="1:4" x14ac:dyDescent="0.25">
      <c r="B44" s="3" t="s">
        <v>170</v>
      </c>
      <c r="C44" s="3" t="s">
        <v>166</v>
      </c>
      <c r="D44" s="56">
        <f>D42*($D$14/1000)/($D$16/1000)*D43</f>
        <v>4.583445299999999E-2</v>
      </c>
    </row>
    <row r="45" spans="1:4" x14ac:dyDescent="0.25">
      <c r="A45" s="1" t="s">
        <v>160</v>
      </c>
      <c r="B45" s="4" t="s">
        <v>171</v>
      </c>
      <c r="C45" s="4" t="str">
        <f>Input!$C$5&amp;"/1000Cartons"</f>
        <v>INR/1000Cartons</v>
      </c>
      <c r="D45" s="56">
        <f>IF(D39="N",0,D41*D44)</f>
        <v>0</v>
      </c>
    </row>
    <row r="46" spans="1:4" x14ac:dyDescent="0.25">
      <c r="B46" s="3"/>
      <c r="C46" s="3"/>
      <c r="D46" s="3"/>
    </row>
    <row r="47" spans="1:4" x14ac:dyDescent="0.25">
      <c r="B47" s="3"/>
      <c r="C47" s="3"/>
      <c r="D47" s="3"/>
    </row>
    <row r="48" spans="1:4" x14ac:dyDescent="0.25">
      <c r="B48" s="5" t="s">
        <v>13</v>
      </c>
      <c r="C48" s="3"/>
      <c r="D48" s="8" t="str">
        <f>D57</f>
        <v>N</v>
      </c>
    </row>
    <row r="49" spans="1:4" x14ac:dyDescent="0.25">
      <c r="B49" s="3" t="s">
        <v>63</v>
      </c>
      <c r="C49" s="3" t="str">
        <f>Input!$C$5&amp; " /Kg"</f>
        <v>INR /Kg</v>
      </c>
      <c r="D49" s="8">
        <f>_xlfn.XLOOKUP($B49,Input!A:A,Input!C:C,0)</f>
        <v>208.54</v>
      </c>
    </row>
    <row r="50" spans="1:4" x14ac:dyDescent="0.25">
      <c r="B50" s="3" t="s">
        <v>172</v>
      </c>
      <c r="C50" s="3" t="s">
        <v>86</v>
      </c>
      <c r="D50" s="8">
        <v>2</v>
      </c>
    </row>
    <row r="51" spans="1:4" x14ac:dyDescent="0.25">
      <c r="B51" s="3" t="s">
        <v>173</v>
      </c>
      <c r="C51" s="3" t="s">
        <v>166</v>
      </c>
      <c r="D51" s="8">
        <f>D50*($D$14/1000)/($D$16/1000)</f>
        <v>0.10185433999999999</v>
      </c>
    </row>
    <row r="52" spans="1:4" x14ac:dyDescent="0.25">
      <c r="A52" s="1" t="s">
        <v>160</v>
      </c>
      <c r="B52" s="3" t="s">
        <v>174</v>
      </c>
      <c r="C52" s="4" t="str">
        <f>Input!$C$5&amp;"/1000Cartons"</f>
        <v>INR/1000Cartons</v>
      </c>
      <c r="D52" s="8">
        <f>IF(D48="N",0,D49*D51)</f>
        <v>0</v>
      </c>
    </row>
    <row r="53" spans="1:4" x14ac:dyDescent="0.25">
      <c r="B53" s="3"/>
      <c r="C53" s="3"/>
      <c r="D53" s="3"/>
    </row>
    <row r="54" spans="1:4" x14ac:dyDescent="0.25">
      <c r="B54" s="3" t="s">
        <v>15</v>
      </c>
      <c r="C54" s="4" t="s">
        <v>109</v>
      </c>
      <c r="D54" s="192">
        <f>Conversion!D84</f>
        <v>2.8014518940181327E-2</v>
      </c>
    </row>
    <row r="55" spans="1:4" x14ac:dyDescent="0.25">
      <c r="A55" s="1" t="s">
        <v>160</v>
      </c>
      <c r="B55" s="3" t="s">
        <v>15</v>
      </c>
      <c r="C55" s="4" t="str">
        <f>Input!$C$5&amp;"/1000Cartons"</f>
        <v>INR/1000Cartons</v>
      </c>
      <c r="D55" s="8">
        <f>SUM(D23+D30+D37+D52+D45)*D54</f>
        <v>23.872075098987199</v>
      </c>
    </row>
    <row r="56" spans="1:4" x14ac:dyDescent="0.25">
      <c r="B56" s="3"/>
      <c r="C56" s="3"/>
      <c r="D56" s="3"/>
    </row>
    <row r="57" spans="1:4" x14ac:dyDescent="0.25">
      <c r="B57" s="5" t="s">
        <v>175</v>
      </c>
      <c r="C57" s="3"/>
      <c r="D57" s="8" t="str">
        <f>Input!$C$44</f>
        <v>N</v>
      </c>
    </row>
    <row r="58" spans="1:4" x14ac:dyDescent="0.25">
      <c r="B58" s="3" t="s">
        <v>97</v>
      </c>
      <c r="C58" s="3"/>
      <c r="D58" s="8" t="str">
        <f>_xlfn.XLOOKUP($B58,Input!A:A,Input!C:C,0)</f>
        <v>Met Pet Film 12 micron</v>
      </c>
    </row>
    <row r="59" spans="1:4" x14ac:dyDescent="0.25">
      <c r="B59" s="3" t="s">
        <v>62</v>
      </c>
      <c r="C59" s="3" t="str">
        <f>Input!$C$5&amp; " /Kg"</f>
        <v>INR /Kg</v>
      </c>
      <c r="D59" s="8">
        <f>_xlfn.XLOOKUP($B59,Input!A:A,Input!C:C,0)</f>
        <v>208.54</v>
      </c>
    </row>
    <row r="60" spans="1:4" x14ac:dyDescent="0.25">
      <c r="B60" s="3" t="s">
        <v>176</v>
      </c>
      <c r="C60" s="3" t="s">
        <v>86</v>
      </c>
      <c r="D60" s="8">
        <f>_xlfn.XLOOKUP(B60,Input!$A:$A,Input!$C:$C,0)</f>
        <v>14</v>
      </c>
    </row>
    <row r="61" spans="1:4" x14ac:dyDescent="0.25">
      <c r="B61" s="3" t="s">
        <v>620</v>
      </c>
      <c r="C61" s="3" t="s">
        <v>166</v>
      </c>
      <c r="D61" s="8">
        <f>D60*($D$14/1000)/($D$16/1000)</f>
        <v>0.71298037999999986</v>
      </c>
    </row>
    <row r="62" spans="1:4" x14ac:dyDescent="0.25">
      <c r="A62" s="1" t="s">
        <v>160</v>
      </c>
      <c r="B62" s="4" t="s">
        <v>177</v>
      </c>
      <c r="C62" s="4" t="str">
        <f>Input!$C$5&amp;"/1000Cartons"</f>
        <v>INR/1000Cartons</v>
      </c>
      <c r="D62" s="8">
        <f>IF($D$57="N",0,D59*D61)</f>
        <v>0</v>
      </c>
    </row>
    <row r="63" spans="1:4" x14ac:dyDescent="0.25">
      <c r="B63" s="3" t="s">
        <v>178</v>
      </c>
      <c r="C63" s="3" t="s">
        <v>166</v>
      </c>
      <c r="D63" s="206">
        <f>1.7*Input!$C$113</f>
        <v>147.9</v>
      </c>
    </row>
    <row r="64" spans="1:4" x14ac:dyDescent="0.25">
      <c r="B64" s="3" t="s">
        <v>179</v>
      </c>
      <c r="C64" s="3" t="s">
        <v>86</v>
      </c>
      <c r="D64" s="206">
        <f>5</f>
        <v>5</v>
      </c>
    </row>
    <row r="65" spans="1:4" x14ac:dyDescent="0.25">
      <c r="B65" s="3" t="s">
        <v>180</v>
      </c>
      <c r="C65" s="3" t="s">
        <v>166</v>
      </c>
      <c r="D65" s="8">
        <f>D64*($D$14/1000)/($D$16/1000)</f>
        <v>0.25463585</v>
      </c>
    </row>
    <row r="66" spans="1:4" x14ac:dyDescent="0.25">
      <c r="A66" s="1" t="s">
        <v>160</v>
      </c>
      <c r="B66" s="4" t="s">
        <v>181</v>
      </c>
      <c r="C66" s="4" t="str">
        <f>Input!$C$5&amp;"/1000Cartons"</f>
        <v>INR/1000Cartons</v>
      </c>
      <c r="D66" s="8">
        <f>IF(D57="N",0,D63*D65)</f>
        <v>0</v>
      </c>
    </row>
    <row r="67" spans="1:4" x14ac:dyDescent="0.25">
      <c r="B67" s="4"/>
      <c r="C67" s="4"/>
      <c r="D67" s="4"/>
    </row>
    <row r="68" spans="1:4" x14ac:dyDescent="0.25">
      <c r="B68" s="3" t="s">
        <v>15</v>
      </c>
      <c r="C68" s="4" t="s">
        <v>109</v>
      </c>
      <c r="D68" s="192">
        <f>Conversion!D140</f>
        <v>0</v>
      </c>
    </row>
    <row r="69" spans="1:4" x14ac:dyDescent="0.25">
      <c r="A69" s="1" t="s">
        <v>160</v>
      </c>
      <c r="B69" s="3" t="s">
        <v>15</v>
      </c>
      <c r="C69" s="4" t="str">
        <f>Input!$C$5&amp;"/1000Cartons"</f>
        <v>INR/1000Cartons</v>
      </c>
      <c r="D69" s="8">
        <f>(SUM($D$23+$D$30+$D$37+$D$52+$D$45)+SUM($D$62+$D$66))*D68</f>
        <v>0</v>
      </c>
    </row>
    <row r="70" spans="1:4" x14ac:dyDescent="0.25">
      <c r="B70" s="3"/>
      <c r="C70" s="3"/>
      <c r="D70" s="3"/>
    </row>
    <row r="71" spans="1:4" x14ac:dyDescent="0.25">
      <c r="B71" s="5" t="s">
        <v>182</v>
      </c>
      <c r="C71" s="3"/>
      <c r="D71" s="8" t="str">
        <f>Input!$C$43</f>
        <v>N</v>
      </c>
    </row>
    <row r="72" spans="1:4" x14ac:dyDescent="0.25">
      <c r="B72" s="3" t="s">
        <v>183</v>
      </c>
      <c r="C72" s="3" t="s">
        <v>72</v>
      </c>
      <c r="D72" s="206">
        <v>610</v>
      </c>
    </row>
    <row r="73" spans="1:4" x14ac:dyDescent="0.25">
      <c r="B73" s="3" t="s">
        <v>184</v>
      </c>
      <c r="C73" s="3" t="s">
        <v>72</v>
      </c>
      <c r="D73" s="206">
        <v>120000</v>
      </c>
    </row>
    <row r="74" spans="1:4" x14ac:dyDescent="0.25">
      <c r="B74" s="26" t="s">
        <v>95</v>
      </c>
      <c r="C74" s="3" t="s">
        <v>72</v>
      </c>
      <c r="D74" s="8">
        <f>_xlfn.XLOOKUP($B74,Input!A:A,Input!C:C,0)</f>
        <v>14.52</v>
      </c>
    </row>
    <row r="75" spans="1:4" x14ac:dyDescent="0.25">
      <c r="B75" s="26" t="s">
        <v>96</v>
      </c>
      <c r="C75" s="3" t="s">
        <v>72</v>
      </c>
      <c r="D75" s="8">
        <f>_xlfn.XLOOKUP($B75,Input!A:A,Input!C:C,0)</f>
        <v>71.600000000000009</v>
      </c>
    </row>
    <row r="76" spans="1:4" x14ac:dyDescent="0.25">
      <c r="B76" s="3" t="s">
        <v>185</v>
      </c>
      <c r="C76" s="3" t="s">
        <v>186</v>
      </c>
      <c r="D76" s="8">
        <f>D74*D75/(100*2.54*2.54)</f>
        <v>1.6114328228656458</v>
      </c>
    </row>
    <row r="77" spans="1:4" x14ac:dyDescent="0.25">
      <c r="B77" s="3" t="s">
        <v>187</v>
      </c>
      <c r="C77" s="4" t="s">
        <v>66</v>
      </c>
      <c r="D77" s="8">
        <f>IF(D76=0,0,(D72*D73)/(D74*D75))</f>
        <v>70409.529525832215</v>
      </c>
    </row>
    <row r="78" spans="1:4" x14ac:dyDescent="0.25">
      <c r="B78" s="3" t="s">
        <v>188</v>
      </c>
      <c r="C78" s="3"/>
      <c r="D78" s="8" t="s">
        <v>189</v>
      </c>
    </row>
    <row r="79" spans="1:4" x14ac:dyDescent="0.25">
      <c r="B79" s="3" t="s">
        <v>60</v>
      </c>
      <c r="C79" s="3" t="s">
        <v>61</v>
      </c>
      <c r="D79" s="8">
        <f>_xlfn.XLOOKUP($B79,Input!A:A,Input!C:C,0)</f>
        <v>938.43</v>
      </c>
    </row>
    <row r="80" spans="1:4" x14ac:dyDescent="0.25">
      <c r="A80" s="1" t="s">
        <v>160</v>
      </c>
      <c r="B80" s="3" t="s">
        <v>190</v>
      </c>
      <c r="C80" s="4" t="str">
        <f>Input!$C$5&amp;"/1000Cartons"</f>
        <v>INR/1000Cartons</v>
      </c>
      <c r="D80" s="8">
        <f>IF(D71="N",0,D79/D77)*1000</f>
        <v>0</v>
      </c>
    </row>
    <row r="81" spans="1:4" x14ac:dyDescent="0.25">
      <c r="B81" s="3"/>
      <c r="C81" s="3"/>
      <c r="D81" s="3"/>
    </row>
    <row r="82" spans="1:4" x14ac:dyDescent="0.25">
      <c r="B82" s="3" t="s">
        <v>15</v>
      </c>
      <c r="C82" s="4" t="s">
        <v>109</v>
      </c>
      <c r="D82" s="192">
        <f>Conversion!D120</f>
        <v>0</v>
      </c>
    </row>
    <row r="83" spans="1:4" x14ac:dyDescent="0.25">
      <c r="A83" s="1" t="s">
        <v>160</v>
      </c>
      <c r="B83" s="3" t="s">
        <v>15</v>
      </c>
      <c r="C83" s="4" t="str">
        <f>Input!$C$5&amp;"/1000Cartons"</f>
        <v>INR/1000Cartons</v>
      </c>
      <c r="D83" s="8">
        <f>(SUM($D$23+$D$30+$D$37+$D$52+$D$45)+SUM($D$62+$D$66))*D82</f>
        <v>0</v>
      </c>
    </row>
    <row r="84" spans="1:4" x14ac:dyDescent="0.25">
      <c r="B84" s="3"/>
      <c r="C84" s="4"/>
      <c r="D84" s="8"/>
    </row>
    <row r="85" spans="1:4" x14ac:dyDescent="0.25">
      <c r="B85" s="5" t="str">
        <f>Input!A45</f>
        <v>Window Carton</v>
      </c>
      <c r="C85" s="3"/>
      <c r="D85" s="8" t="str">
        <f>Input!$C$45</f>
        <v>N</v>
      </c>
    </row>
    <row r="86" spans="1:4" x14ac:dyDescent="0.25">
      <c r="B86" s="3" t="s">
        <v>627</v>
      </c>
      <c r="C86" s="3" t="s">
        <v>72</v>
      </c>
      <c r="D86" s="8">
        <f>_xlfn.XLOOKUP($B86,Input!A:A,Input!C:C,0)</f>
        <v>89.5</v>
      </c>
    </row>
    <row r="87" spans="1:4" x14ac:dyDescent="0.25">
      <c r="B87" s="3" t="s">
        <v>628</v>
      </c>
      <c r="C87" s="3" t="s">
        <v>72</v>
      </c>
      <c r="D87" s="8">
        <f>_xlfn.XLOOKUP($B87,Input!A:A,Input!C:C,0)</f>
        <v>83</v>
      </c>
    </row>
    <row r="88" spans="1:4" x14ac:dyDescent="0.25">
      <c r="B88" s="211" t="s">
        <v>150</v>
      </c>
      <c r="C88" s="4" t="s">
        <v>151</v>
      </c>
      <c r="D88" s="3">
        <f>(D86*D87)/10^6</f>
        <v>7.4285000000000002E-3</v>
      </c>
    </row>
    <row r="89" spans="1:4" x14ac:dyDescent="0.25">
      <c r="B89" s="212" t="s">
        <v>630</v>
      </c>
      <c r="C89" s="210" t="s">
        <v>86</v>
      </c>
      <c r="D89" s="8">
        <f>_xlfn.XLOOKUP($B89,Input!A:A,Input!C:C,0)</f>
        <v>175</v>
      </c>
    </row>
    <row r="90" spans="1:4" x14ac:dyDescent="0.25">
      <c r="B90" s="209" t="s">
        <v>62</v>
      </c>
      <c r="C90" s="3" t="s">
        <v>626</v>
      </c>
      <c r="D90" s="8">
        <f>_xlfn.XLOOKUP($B90,Input!A:A,Input!C:C,0)</f>
        <v>208.54</v>
      </c>
    </row>
    <row r="91" spans="1:4" x14ac:dyDescent="0.25">
      <c r="A91" s="1" t="s">
        <v>160</v>
      </c>
      <c r="B91" s="4" t="s">
        <v>177</v>
      </c>
      <c r="C91" s="4" t="str">
        <f>Input!$C$5&amp;"/1000Cartons"</f>
        <v>INR/1000Cartons</v>
      </c>
      <c r="D91" s="213">
        <f>IF(D85="N",0,(D89*D90*D88))</f>
        <v>0</v>
      </c>
    </row>
    <row r="92" spans="1:4" x14ac:dyDescent="0.25">
      <c r="B92" s="3"/>
      <c r="C92" s="3"/>
      <c r="D92" s="3"/>
    </row>
    <row r="93" spans="1:4" x14ac:dyDescent="0.25">
      <c r="B93" s="3"/>
      <c r="C93" s="3"/>
      <c r="D93" s="3"/>
    </row>
    <row r="94" spans="1:4" x14ac:dyDescent="0.25">
      <c r="B94" s="3" t="s">
        <v>15</v>
      </c>
      <c r="C94" s="4" t="s">
        <v>109</v>
      </c>
      <c r="D94" s="192">
        <f>Conversion!D120</f>
        <v>0</v>
      </c>
    </row>
    <row r="95" spans="1:4" x14ac:dyDescent="0.25">
      <c r="A95" s="1" t="s">
        <v>160</v>
      </c>
      <c r="B95" s="3" t="s">
        <v>15</v>
      </c>
      <c r="C95" s="4" t="str">
        <f>Input!$C$5&amp;"/1000Cartons"</f>
        <v>INR/1000Cartons</v>
      </c>
      <c r="D95" s="8">
        <f>(SUM($D$23+$D$30+$D$37+$D$52+$D$45)+SUM($D$62+$D$66))*D94</f>
        <v>0</v>
      </c>
    </row>
    <row r="96" spans="1:4" x14ac:dyDescent="0.25">
      <c r="B96" s="3"/>
      <c r="C96" s="3"/>
      <c r="D96" s="3"/>
    </row>
    <row r="97" spans="1:5" x14ac:dyDescent="0.25">
      <c r="A97" s="1" t="s">
        <v>160</v>
      </c>
      <c r="B97" s="3" t="s">
        <v>191</v>
      </c>
      <c r="C97" s="4" t="str">
        <f>Input!$C$5&amp;"/1000Cartons"</f>
        <v>INR/1000Cartons</v>
      </c>
      <c r="D97" s="8">
        <f>Conversion!D96</f>
        <v>10.003677705112011</v>
      </c>
    </row>
    <row r="98" spans="1:5" x14ac:dyDescent="0.25">
      <c r="A98" s="1" t="s">
        <v>160</v>
      </c>
      <c r="B98" s="3" t="s">
        <v>192</v>
      </c>
      <c r="C98" s="4" t="str">
        <f>Input!$C$5&amp;"/1000Cartons"</f>
        <v>INR/1000Cartons</v>
      </c>
      <c r="D98" s="8">
        <f>Conversion!D132</f>
        <v>0</v>
      </c>
    </row>
    <row r="99" spans="1:5" x14ac:dyDescent="0.25">
      <c r="A99" s="1" t="s">
        <v>160</v>
      </c>
      <c r="B99" s="3" t="s">
        <v>193</v>
      </c>
      <c r="C99" s="4" t="str">
        <f>Input!$C$5&amp;"/1000Cartons"</f>
        <v>INR/1000Cartons</v>
      </c>
      <c r="D99" s="8">
        <f>Conversion!D180</f>
        <v>2.6067499999999999</v>
      </c>
    </row>
    <row r="100" spans="1:5" x14ac:dyDescent="0.25">
      <c r="B100" s="3"/>
      <c r="C100" s="4"/>
      <c r="D100" s="8"/>
    </row>
    <row r="101" spans="1:5" x14ac:dyDescent="0.25">
      <c r="B101" s="3" t="s">
        <v>579</v>
      </c>
      <c r="C101" s="4" t="s">
        <v>109</v>
      </c>
      <c r="D101" s="192">
        <f>D102/D104</f>
        <v>2.6864369495949763E-2</v>
      </c>
      <c r="E101" s="216"/>
    </row>
    <row r="102" spans="1:5" x14ac:dyDescent="0.25">
      <c r="B102" s="3" t="s">
        <v>579</v>
      </c>
      <c r="C102" s="4" t="str">
        <f>Input!$C$5&amp;"/1000Cartons"</f>
        <v>INR/1000Cartons</v>
      </c>
      <c r="D102" s="56">
        <f>(D55+D69+D83+D95)</f>
        <v>23.872075098987199</v>
      </c>
      <c r="E102" s="217"/>
    </row>
    <row r="103" spans="1:5" x14ac:dyDescent="0.25">
      <c r="B103" s="3"/>
      <c r="C103" s="3"/>
      <c r="D103" s="3"/>
    </row>
    <row r="104" spans="1:5" x14ac:dyDescent="0.25">
      <c r="B104" s="3" t="s">
        <v>160</v>
      </c>
      <c r="C104" s="4" t="str">
        <f>Input!$C$5&amp;"/1000Cartons"</f>
        <v>INR/1000Cartons</v>
      </c>
      <c r="D104" s="8">
        <f>SUMIF(A23:A102,B104,D23:D102)</f>
        <v>888.61475429699919</v>
      </c>
    </row>
    <row r="105" spans="1:5" x14ac:dyDescent="0.25">
      <c r="B105" s="3"/>
      <c r="C105" s="3"/>
      <c r="D105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A1E45-88CD-4786-B749-2EC56F2839AC}">
  <dimension ref="A2:P662"/>
  <sheetViews>
    <sheetView showGridLines="0" topLeftCell="A52" workbookViewId="0">
      <selection activeCell="D56" sqref="D56"/>
    </sheetView>
  </sheetViews>
  <sheetFormatPr defaultColWidth="15.7109375" defaultRowHeight="12" x14ac:dyDescent="0.25"/>
  <cols>
    <col min="1" max="1" width="3.7109375" style="1" customWidth="1"/>
    <col min="2" max="2" width="23.140625" bestFit="1" customWidth="1"/>
    <col min="3" max="3" width="12.7109375" customWidth="1"/>
    <col min="4" max="4" width="23.7109375" style="130" bestFit="1" customWidth="1"/>
    <col min="7" max="7" width="17.7109375" bestFit="1" customWidth="1"/>
  </cols>
  <sheetData>
    <row r="2" spans="1:16" x14ac:dyDescent="0.25">
      <c r="B2" s="3" t="s">
        <v>194</v>
      </c>
      <c r="C2" s="32">
        <v>0.8</v>
      </c>
    </row>
    <row r="3" spans="1:16" x14ac:dyDescent="0.25">
      <c r="B3" s="3" t="s">
        <v>195</v>
      </c>
      <c r="C3" s="32">
        <v>24</v>
      </c>
    </row>
    <row r="4" spans="1:16" x14ac:dyDescent="0.25">
      <c r="B4" s="3" t="s">
        <v>196</v>
      </c>
      <c r="C4" s="32">
        <v>330</v>
      </c>
    </row>
    <row r="5" spans="1:16" x14ac:dyDescent="0.25">
      <c r="B5" s="3" t="s">
        <v>197</v>
      </c>
      <c r="C5" s="32">
        <f>C3*C4</f>
        <v>7920</v>
      </c>
    </row>
    <row r="6" spans="1:16" s="1" customFormat="1" x14ac:dyDescent="0.25">
      <c r="D6" s="131">
        <v>1</v>
      </c>
    </row>
    <row r="7" spans="1:16" x14ac:dyDescent="0.25">
      <c r="B7" s="11" t="s">
        <v>52</v>
      </c>
      <c r="C7" s="6" t="s">
        <v>146</v>
      </c>
      <c r="D7" s="132" t="str">
        <f>_xlfn.XLOOKUP($B7,Input!A:A,Input!C:C,0)</f>
        <v>xxxx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</row>
    <row r="8" spans="1:16" s="35" customFormat="1" x14ac:dyDescent="0.25">
      <c r="A8" s="126"/>
      <c r="B8" s="11" t="s">
        <v>54</v>
      </c>
      <c r="C8" s="7"/>
      <c r="D8" s="132">
        <f>_xlfn.XLOOKUP($B8,Input!A:A,Input!C:C,0)</f>
        <v>0</v>
      </c>
    </row>
    <row r="9" spans="1:16" x14ac:dyDescent="0.25">
      <c r="B9" s="5" t="s">
        <v>615</v>
      </c>
      <c r="C9" s="43"/>
      <c r="D9" s="133"/>
    </row>
    <row r="10" spans="1:16" x14ac:dyDescent="0.25">
      <c r="B10" s="3" t="s">
        <v>198</v>
      </c>
      <c r="C10" s="43"/>
      <c r="D10" s="123" t="s">
        <v>199</v>
      </c>
    </row>
    <row r="11" spans="1:16" x14ac:dyDescent="0.25">
      <c r="B11" s="3" t="s">
        <v>614</v>
      </c>
      <c r="C11" s="43"/>
      <c r="D11" s="123" t="str">
        <f>_xlfn.XLOOKUP(B11,Input!$A:$A,Input!$C:$C,0)</f>
        <v>KBA 8000</v>
      </c>
    </row>
    <row r="12" spans="1:16" x14ac:dyDescent="0.25">
      <c r="B12" s="3" t="s">
        <v>79</v>
      </c>
      <c r="C12" s="44" t="s">
        <v>202</v>
      </c>
      <c r="D12" s="123" t="str">
        <f>_xlfn.XLOOKUP($B12,Input!A:A,Input!C:C,0)</f>
        <v>IIIB</v>
      </c>
    </row>
    <row r="13" spans="1:16" x14ac:dyDescent="0.25">
      <c r="B13" s="2"/>
      <c r="C13" s="3"/>
      <c r="D13" s="133"/>
    </row>
    <row r="14" spans="1:16" x14ac:dyDescent="0.25">
      <c r="B14" s="2" t="s">
        <v>203</v>
      </c>
      <c r="C14" s="3"/>
      <c r="D14" s="123"/>
    </row>
    <row r="15" spans="1:16" x14ac:dyDescent="0.25">
      <c r="B15" s="26" t="s">
        <v>204</v>
      </c>
      <c r="C15" s="3" t="s">
        <v>72</v>
      </c>
      <c r="D15" s="123">
        <f>VLOOKUP($D$12,Backup!$B$116:$D$120,MATCH(Conversion!$B15,Backup!$B$116:$D$116,0),0)</f>
        <v>1020</v>
      </c>
    </row>
    <row r="16" spans="1:16" x14ac:dyDescent="0.25">
      <c r="B16" s="26" t="s">
        <v>205</v>
      </c>
      <c r="C16" s="3" t="s">
        <v>72</v>
      </c>
      <c r="D16" s="123">
        <f>VLOOKUP($D$12,Backup!$B$116:$D$120,MATCH(Conversion!$B16,Backup!$B$116:$D$116,0),0)</f>
        <v>720</v>
      </c>
    </row>
    <row r="17" spans="1:4" x14ac:dyDescent="0.25">
      <c r="B17" s="26"/>
      <c r="C17" s="3"/>
      <c r="D17" s="133"/>
    </row>
    <row r="18" spans="1:4" x14ac:dyDescent="0.25">
      <c r="B18" s="2" t="s">
        <v>206</v>
      </c>
      <c r="C18" s="3"/>
      <c r="D18" s="133"/>
    </row>
    <row r="19" spans="1:4" x14ac:dyDescent="0.25">
      <c r="B19" s="26" t="s">
        <v>71</v>
      </c>
      <c r="C19" s="3" t="s">
        <v>72</v>
      </c>
      <c r="D19" s="123">
        <f>_xlfn.XLOOKUP($B19,Input!A:A,Input!C:C,0)</f>
        <v>36.299999999999997</v>
      </c>
    </row>
    <row r="20" spans="1:4" x14ac:dyDescent="0.25">
      <c r="B20" s="26" t="s">
        <v>73</v>
      </c>
      <c r="C20" s="3" t="s">
        <v>72</v>
      </c>
      <c r="D20" s="123">
        <f>_xlfn.XLOOKUP($B20,Input!A:A,Input!C:C,0)</f>
        <v>37</v>
      </c>
    </row>
    <row r="21" spans="1:4" x14ac:dyDescent="0.25">
      <c r="B21" s="26" t="s">
        <v>74</v>
      </c>
      <c r="C21" s="3" t="s">
        <v>72</v>
      </c>
      <c r="D21" s="123">
        <f>_xlfn.XLOOKUP($B21,Input!A:A,Input!C:C,0)</f>
        <v>46</v>
      </c>
    </row>
    <row r="22" spans="1:4" x14ac:dyDescent="0.25">
      <c r="A22" s="1" t="s">
        <v>150</v>
      </c>
      <c r="B22" s="26" t="s">
        <v>75</v>
      </c>
      <c r="C22" s="3" t="s">
        <v>72</v>
      </c>
      <c r="D22" s="123">
        <f>_xlfn.XLOOKUP($B22,Input!A:A,Input!C:C,0)</f>
        <v>46</v>
      </c>
    </row>
    <row r="23" spans="1:4" x14ac:dyDescent="0.25">
      <c r="B23" s="26" t="s">
        <v>76</v>
      </c>
      <c r="C23" s="3" t="s">
        <v>72</v>
      </c>
      <c r="D23" s="123">
        <f>_xlfn.XLOOKUP($B23,Input!A:A,Input!C:C,0)</f>
        <v>179</v>
      </c>
    </row>
    <row r="24" spans="1:4" x14ac:dyDescent="0.25">
      <c r="B24" s="26" t="s">
        <v>77</v>
      </c>
      <c r="C24" s="3" t="s">
        <v>72</v>
      </c>
      <c r="D24" s="123">
        <f>_xlfn.XLOOKUP($B24,Input!A:A,Input!C:C,0)</f>
        <v>96.899999999999977</v>
      </c>
    </row>
    <row r="25" spans="1:4" x14ac:dyDescent="0.25">
      <c r="B25" s="26" t="s">
        <v>78</v>
      </c>
      <c r="C25" s="3" t="s">
        <v>72</v>
      </c>
      <c r="D25" s="123">
        <f>_xlfn.XLOOKUP($B25,Input!A:A,Input!C:C,0)</f>
        <v>13</v>
      </c>
    </row>
    <row r="26" spans="1:4" x14ac:dyDescent="0.25">
      <c r="B26" s="3"/>
      <c r="C26" s="3"/>
      <c r="D26" s="133"/>
    </row>
    <row r="27" spans="1:4" x14ac:dyDescent="0.25">
      <c r="B27" s="2" t="s">
        <v>147</v>
      </c>
      <c r="C27" s="3"/>
      <c r="D27" s="123"/>
    </row>
    <row r="28" spans="1:4" x14ac:dyDescent="0.25">
      <c r="B28" s="3" t="s">
        <v>148</v>
      </c>
      <c r="C28" s="3" t="s">
        <v>72</v>
      </c>
      <c r="D28" s="123">
        <f>D19+D20+D21+D22+D25</f>
        <v>178.3</v>
      </c>
    </row>
    <row r="29" spans="1:4" x14ac:dyDescent="0.25">
      <c r="B29" s="3" t="s">
        <v>149</v>
      </c>
      <c r="C29" s="3" t="s">
        <v>72</v>
      </c>
      <c r="D29" s="123">
        <f>D23+D24</f>
        <v>275.89999999999998</v>
      </c>
    </row>
    <row r="30" spans="1:4" x14ac:dyDescent="0.25">
      <c r="B30" s="4" t="s">
        <v>207</v>
      </c>
      <c r="C30" s="4" t="s">
        <v>208</v>
      </c>
      <c r="D30" s="127">
        <f>D28*D29/10^6</f>
        <v>4.9192970000000003E-2</v>
      </c>
    </row>
    <row r="31" spans="1:4" x14ac:dyDescent="0.25">
      <c r="B31" s="3"/>
      <c r="C31" s="3"/>
      <c r="D31" s="133"/>
    </row>
    <row r="32" spans="1:4" x14ac:dyDescent="0.25">
      <c r="B32" s="3" t="s">
        <v>82</v>
      </c>
      <c r="C32" s="3"/>
      <c r="D32" s="123" t="str">
        <f>_xlfn.XLOOKUP($B32,Input!A:A,Input!C:C,0)</f>
        <v>Long</v>
      </c>
    </row>
    <row r="33" spans="1:4" x14ac:dyDescent="0.25">
      <c r="B33" s="3"/>
      <c r="C33" s="3"/>
      <c r="D33" s="133"/>
    </row>
    <row r="34" spans="1:4" x14ac:dyDescent="0.25">
      <c r="B34" s="5" t="s">
        <v>209</v>
      </c>
      <c r="C34" s="3"/>
      <c r="D34" s="123"/>
    </row>
    <row r="35" spans="1:4" x14ac:dyDescent="0.25">
      <c r="B35" s="3" t="s">
        <v>210</v>
      </c>
      <c r="C35" s="3" t="s">
        <v>72</v>
      </c>
      <c r="D35" s="219">
        <v>5</v>
      </c>
    </row>
    <row r="36" spans="1:4" x14ac:dyDescent="0.25">
      <c r="B36" s="3" t="s">
        <v>211</v>
      </c>
      <c r="C36" s="3" t="s">
        <v>72</v>
      </c>
      <c r="D36" s="219">
        <v>5</v>
      </c>
    </row>
    <row r="37" spans="1:4" x14ac:dyDescent="0.25">
      <c r="B37" s="3" t="s">
        <v>212</v>
      </c>
      <c r="C37" s="3" t="s">
        <v>72</v>
      </c>
      <c r="D37" s="219">
        <v>10</v>
      </c>
    </row>
    <row r="38" spans="1:4" x14ac:dyDescent="0.25">
      <c r="B38" s="3" t="s">
        <v>213</v>
      </c>
      <c r="C38" s="3" t="s">
        <v>72</v>
      </c>
      <c r="D38" s="219">
        <v>5</v>
      </c>
    </row>
    <row r="39" spans="1:4" x14ac:dyDescent="0.25">
      <c r="B39" s="3" t="s">
        <v>214</v>
      </c>
      <c r="C39" s="3" t="s">
        <v>72</v>
      </c>
      <c r="D39" s="134">
        <v>0</v>
      </c>
    </row>
    <row r="40" spans="1:4" x14ac:dyDescent="0.25">
      <c r="B40" s="3" t="s">
        <v>215</v>
      </c>
      <c r="C40" s="3" t="s">
        <v>72</v>
      </c>
      <c r="D40" s="134">
        <v>0</v>
      </c>
    </row>
    <row r="41" spans="1:4" x14ac:dyDescent="0.25">
      <c r="B41" s="3" t="s">
        <v>216</v>
      </c>
      <c r="C41" s="3" t="s">
        <v>72</v>
      </c>
      <c r="D41" s="134">
        <v>0</v>
      </c>
    </row>
    <row r="42" spans="1:4" x14ac:dyDescent="0.25">
      <c r="B42" s="3" t="s">
        <v>638</v>
      </c>
      <c r="C42" s="3" t="s">
        <v>72</v>
      </c>
      <c r="D42" s="123">
        <f>_xlfn.XLOOKUP($B42,Input!A:A,Input!C:C,0)</f>
        <v>0</v>
      </c>
    </row>
    <row r="43" spans="1:4" x14ac:dyDescent="0.25">
      <c r="B43" s="3"/>
      <c r="C43" s="3"/>
      <c r="D43" s="133"/>
    </row>
    <row r="44" spans="1:4" x14ac:dyDescent="0.25">
      <c r="B44" s="5" t="s">
        <v>218</v>
      </c>
      <c r="C44" s="3"/>
      <c r="D44" s="123"/>
    </row>
    <row r="45" spans="1:4" x14ac:dyDescent="0.25">
      <c r="B45" s="3" t="s">
        <v>219</v>
      </c>
      <c r="C45" s="3" t="s">
        <v>66</v>
      </c>
      <c r="D45" s="123">
        <f>ROUNDDOWN(IF($D32="Long",$D15/$D28,IF($D32="Short",$D15/$D28,0)),0)</f>
        <v>5</v>
      </c>
    </row>
    <row r="46" spans="1:4" x14ac:dyDescent="0.25">
      <c r="B46" s="26" t="s">
        <v>220</v>
      </c>
      <c r="C46" s="3" t="s">
        <v>66</v>
      </c>
      <c r="D46" s="123">
        <f>ROUNDDOWN(IF($D32="Long",$D16/$D29,IF($D32="Short",$D16/$D29,0)),0)</f>
        <v>2</v>
      </c>
    </row>
    <row r="47" spans="1:4" x14ac:dyDescent="0.25">
      <c r="A47" s="1" t="s">
        <v>156</v>
      </c>
      <c r="B47" s="4" t="s">
        <v>221</v>
      </c>
      <c r="C47" s="3" t="s">
        <v>66</v>
      </c>
      <c r="D47" s="123">
        <f>D45*D46</f>
        <v>10</v>
      </c>
    </row>
    <row r="48" spans="1:4" x14ac:dyDescent="0.25">
      <c r="B48" s="3"/>
      <c r="C48" s="3"/>
      <c r="D48" s="133"/>
    </row>
    <row r="49" spans="1:7" x14ac:dyDescent="0.25">
      <c r="B49" s="5" t="s">
        <v>222</v>
      </c>
      <c r="C49" s="3"/>
      <c r="D49" s="123"/>
    </row>
    <row r="50" spans="1:7" x14ac:dyDescent="0.25">
      <c r="B50" s="3" t="s">
        <v>153</v>
      </c>
      <c r="C50" s="3" t="s">
        <v>72</v>
      </c>
      <c r="D50" s="123">
        <f>D28*D45+D37+D38</f>
        <v>906.5</v>
      </c>
    </row>
    <row r="51" spans="1:7" x14ac:dyDescent="0.25">
      <c r="B51" s="3" t="s">
        <v>154</v>
      </c>
      <c r="C51" s="3" t="s">
        <v>72</v>
      </c>
      <c r="D51" s="123">
        <f>D29*D46+D35+D36-D42</f>
        <v>561.79999999999995</v>
      </c>
    </row>
    <row r="52" spans="1:7" x14ac:dyDescent="0.25">
      <c r="A52" s="1" t="s">
        <v>155</v>
      </c>
      <c r="B52" s="4" t="s">
        <v>223</v>
      </c>
      <c r="C52" s="4" t="s">
        <v>224</v>
      </c>
      <c r="D52" s="127">
        <f>D50*D51/10^6</f>
        <v>0.50927169999999999</v>
      </c>
    </row>
    <row r="53" spans="1:7" x14ac:dyDescent="0.25">
      <c r="B53" s="3"/>
      <c r="C53" s="3"/>
      <c r="D53" s="133"/>
    </row>
    <row r="54" spans="1:7" x14ac:dyDescent="0.25">
      <c r="B54" s="3" t="s">
        <v>225</v>
      </c>
      <c r="C54" s="3" t="s">
        <v>226</v>
      </c>
      <c r="D54" s="123">
        <f>VLOOKUP(D11,Machine,COLUMNS(Backup!$C$19:$E$19),0)</f>
        <v>12000</v>
      </c>
    </row>
    <row r="55" spans="1:7" x14ac:dyDescent="0.25">
      <c r="B55" s="3" t="s">
        <v>65</v>
      </c>
      <c r="C55" s="3" t="s">
        <v>66</v>
      </c>
      <c r="D55" s="123">
        <f>_xlfn.XLOOKUP($B55,Input!A:A,Input!C:C,0)</f>
        <v>5</v>
      </c>
    </row>
    <row r="56" spans="1:7" x14ac:dyDescent="0.25">
      <c r="B56" s="3" t="s">
        <v>68</v>
      </c>
      <c r="C56" s="3" t="s">
        <v>66</v>
      </c>
      <c r="D56" s="123">
        <f>_xlfn.XLOOKUP($B56,Input!A:A,Input!C:C,0)</f>
        <v>1</v>
      </c>
    </row>
    <row r="57" spans="1:7" x14ac:dyDescent="0.25">
      <c r="B57" s="26" t="s">
        <v>67</v>
      </c>
      <c r="C57" s="3" t="s">
        <v>66</v>
      </c>
      <c r="D57" s="123">
        <f>_xlfn.XLOOKUP($B57,Input!A:A,Input!C:C,0)</f>
        <v>2</v>
      </c>
    </row>
    <row r="58" spans="1:7" x14ac:dyDescent="0.25">
      <c r="B58" s="26" t="s">
        <v>227</v>
      </c>
      <c r="C58" s="3" t="s">
        <v>66</v>
      </c>
      <c r="D58" s="123">
        <f>D55-D57</f>
        <v>3</v>
      </c>
    </row>
    <row r="59" spans="1:7" x14ac:dyDescent="0.25">
      <c r="B59" s="3" t="s">
        <v>69</v>
      </c>
      <c r="C59" s="3" t="s">
        <v>66</v>
      </c>
      <c r="D59" s="123">
        <f>_xlfn.XLOOKUP($B59,Input!A:A,Input!C:C,0)</f>
        <v>12</v>
      </c>
    </row>
    <row r="60" spans="1:7" x14ac:dyDescent="0.25">
      <c r="B60" s="3" t="s">
        <v>70</v>
      </c>
      <c r="C60" s="3" t="s">
        <v>66</v>
      </c>
      <c r="D60" s="123">
        <f>_xlfn.XLOOKUP($B60,Input!A:A,Input!C:C,0)</f>
        <v>1</v>
      </c>
    </row>
    <row r="61" spans="1:7" x14ac:dyDescent="0.25">
      <c r="B61" s="3" t="s">
        <v>50</v>
      </c>
      <c r="C61" s="3" t="s">
        <v>66</v>
      </c>
      <c r="D61" s="123">
        <f>_xlfn.XLOOKUP($B61,Input!A:A,Input!C:C,0)</f>
        <v>3126950</v>
      </c>
    </row>
    <row r="62" spans="1:7" x14ac:dyDescent="0.25">
      <c r="B62" s="3" t="s">
        <v>228</v>
      </c>
      <c r="C62" s="3" t="s">
        <v>66</v>
      </c>
      <c r="D62" s="123">
        <f>D61/D59</f>
        <v>260579.16666666666</v>
      </c>
    </row>
    <row r="63" spans="1:7" x14ac:dyDescent="0.25">
      <c r="B63" s="3" t="s">
        <v>229</v>
      </c>
      <c r="C63" s="3" t="s">
        <v>66</v>
      </c>
      <c r="D63" s="123">
        <f>D55</f>
        <v>5</v>
      </c>
    </row>
    <row r="64" spans="1:7" x14ac:dyDescent="0.25">
      <c r="B64" s="3" t="s">
        <v>230</v>
      </c>
      <c r="C64" s="3" t="s">
        <v>231</v>
      </c>
      <c r="D64" s="123">
        <f>D62/D47</f>
        <v>26057.916666666664</v>
      </c>
      <c r="F64" s="37"/>
      <c r="G64" s="37"/>
    </row>
    <row r="65" spans="2:7" x14ac:dyDescent="0.25">
      <c r="B65" s="3" t="s">
        <v>232</v>
      </c>
      <c r="C65" s="3" t="s">
        <v>233</v>
      </c>
      <c r="D65" s="123">
        <f>D64/(D54*C$2)*D59</f>
        <v>32.572395833333331</v>
      </c>
      <c r="F65" s="37"/>
      <c r="G65" s="37"/>
    </row>
    <row r="66" spans="2:7" x14ac:dyDescent="0.25">
      <c r="B66" s="3"/>
      <c r="C66" s="3"/>
      <c r="D66" s="133"/>
    </row>
    <row r="67" spans="2:7" x14ac:dyDescent="0.25">
      <c r="B67" s="4" t="s">
        <v>234</v>
      </c>
      <c r="C67" s="3"/>
      <c r="D67" s="123"/>
    </row>
    <row r="68" spans="2:7" x14ac:dyDescent="0.25">
      <c r="B68" s="3" t="s">
        <v>235</v>
      </c>
      <c r="C68" s="3" t="s">
        <v>66</v>
      </c>
      <c r="D68" s="123">
        <f>D59*D60</f>
        <v>12</v>
      </c>
    </row>
    <row r="69" spans="2:7" x14ac:dyDescent="0.25">
      <c r="B69" s="3" t="s">
        <v>236</v>
      </c>
      <c r="C69" s="3" t="s">
        <v>237</v>
      </c>
      <c r="D69" s="123">
        <f>VLOOKUP($D$10&amp;$D$55,Print_Changeover,COLUMNS(Backup!$D$96:$E$96),0)</f>
        <v>45</v>
      </c>
    </row>
    <row r="70" spans="2:7" x14ac:dyDescent="0.25">
      <c r="B70" s="3" t="s">
        <v>238</v>
      </c>
      <c r="C70" s="3" t="s">
        <v>239</v>
      </c>
      <c r="D70" s="123">
        <f>(D54*5%)/60</f>
        <v>10</v>
      </c>
    </row>
    <row r="71" spans="2:7" x14ac:dyDescent="0.25">
      <c r="B71" s="3" t="s">
        <v>240</v>
      </c>
      <c r="C71" s="3" t="s">
        <v>66</v>
      </c>
      <c r="D71" s="135">
        <f>D69*D70</f>
        <v>450</v>
      </c>
    </row>
    <row r="72" spans="2:7" x14ac:dyDescent="0.25">
      <c r="B72" s="3" t="s">
        <v>241</v>
      </c>
      <c r="C72" s="3" t="s">
        <v>109</v>
      </c>
      <c r="D72" s="135">
        <f>D71/D64</f>
        <v>1.7269224004221366E-2</v>
      </c>
    </row>
    <row r="73" spans="2:7" x14ac:dyDescent="0.25">
      <c r="B73" s="3" t="s">
        <v>232</v>
      </c>
      <c r="C73" s="3" t="s">
        <v>233</v>
      </c>
      <c r="D73" s="123">
        <f>D71/(D70*C$2)/60*D68</f>
        <v>11.25</v>
      </c>
    </row>
    <row r="74" spans="2:7" x14ac:dyDescent="0.25">
      <c r="B74" s="3"/>
      <c r="C74" s="3"/>
      <c r="D74" s="133"/>
    </row>
    <row r="75" spans="2:7" x14ac:dyDescent="0.25">
      <c r="B75" s="4" t="s">
        <v>242</v>
      </c>
      <c r="C75" s="3"/>
      <c r="D75" s="123"/>
    </row>
    <row r="76" spans="2:7" x14ac:dyDescent="0.25">
      <c r="B76" s="3" t="s">
        <v>243</v>
      </c>
      <c r="C76" s="3" t="s">
        <v>66</v>
      </c>
      <c r="D76" s="123">
        <f>$D$68</f>
        <v>12</v>
      </c>
    </row>
    <row r="77" spans="2:7" x14ac:dyDescent="0.25">
      <c r="B77" s="3" t="s">
        <v>244</v>
      </c>
      <c r="C77" s="3" t="s">
        <v>237</v>
      </c>
      <c r="D77" s="123">
        <f>VLOOKUP($D$10&amp;$D$58,Print_Changeover,COLUMNS(Backup!$D$96:$F$96),0)</f>
        <v>14</v>
      </c>
    </row>
    <row r="78" spans="2:7" x14ac:dyDescent="0.25">
      <c r="B78" s="3" t="s">
        <v>245</v>
      </c>
      <c r="C78" s="3" t="s">
        <v>239</v>
      </c>
      <c r="D78" s="123">
        <f>(D54*10%)/60</f>
        <v>20</v>
      </c>
    </row>
    <row r="79" spans="2:7" x14ac:dyDescent="0.25">
      <c r="B79" s="3" t="s">
        <v>246</v>
      </c>
      <c r="C79" s="3" t="s">
        <v>66</v>
      </c>
      <c r="D79" s="135">
        <f>D77*D78</f>
        <v>280</v>
      </c>
    </row>
    <row r="80" spans="2:7" x14ac:dyDescent="0.25">
      <c r="B80" s="3" t="s">
        <v>247</v>
      </c>
      <c r="C80" s="3" t="s">
        <v>109</v>
      </c>
      <c r="D80" s="135">
        <f>D79/D64</f>
        <v>1.0745294935959961E-2</v>
      </c>
    </row>
    <row r="81" spans="1:4" x14ac:dyDescent="0.25">
      <c r="B81" s="3" t="s">
        <v>248</v>
      </c>
      <c r="C81" s="3" t="s">
        <v>109</v>
      </c>
      <c r="D81" s="135">
        <f>D77*D78/D64*(D60-1)</f>
        <v>0</v>
      </c>
    </row>
    <row r="82" spans="1:4" x14ac:dyDescent="0.25">
      <c r="B82" s="3" t="s">
        <v>232</v>
      </c>
      <c r="C82" s="3" t="s">
        <v>233</v>
      </c>
      <c r="D82" s="123">
        <f>D79/(D78*C$2)/60*D76</f>
        <v>3.5</v>
      </c>
    </row>
    <row r="83" spans="1:4" x14ac:dyDescent="0.25">
      <c r="B83" s="3"/>
      <c r="C83" s="3"/>
      <c r="D83" s="136"/>
    </row>
    <row r="84" spans="1:4" x14ac:dyDescent="0.25">
      <c r="A84" s="1" t="s">
        <v>579</v>
      </c>
      <c r="B84" s="3" t="s">
        <v>249</v>
      </c>
      <c r="C84" s="3" t="s">
        <v>109</v>
      </c>
      <c r="D84" s="215">
        <f>D72+D80+D81</f>
        <v>2.8014518940181327E-2</v>
      </c>
    </row>
    <row r="85" spans="1:4" x14ac:dyDescent="0.25">
      <c r="B85" s="3"/>
      <c r="C85" s="3"/>
      <c r="D85" s="136"/>
    </row>
    <row r="86" spans="1:4" x14ac:dyDescent="0.25">
      <c r="B86" s="3" t="s">
        <v>250</v>
      </c>
      <c r="C86" s="3" t="s">
        <v>233</v>
      </c>
      <c r="D86" s="123">
        <f>D65+D73+D82</f>
        <v>47.322395833333331</v>
      </c>
    </row>
    <row r="87" spans="1:4" x14ac:dyDescent="0.25">
      <c r="B87" s="3" t="s">
        <v>448</v>
      </c>
      <c r="C87" s="3" t="s">
        <v>66</v>
      </c>
      <c r="D87" s="123">
        <f>D86/$C$5</f>
        <v>5.9750499789562291E-3</v>
      </c>
    </row>
    <row r="88" spans="1:4" x14ac:dyDescent="0.25">
      <c r="B88" s="3"/>
      <c r="C88" s="3"/>
      <c r="D88" s="136"/>
    </row>
    <row r="89" spans="1:4" x14ac:dyDescent="0.25">
      <c r="B89" s="4" t="s">
        <v>251</v>
      </c>
      <c r="C89" s="3"/>
      <c r="D89" s="123"/>
    </row>
    <row r="90" spans="1:4" x14ac:dyDescent="0.25">
      <c r="B90" s="3" t="s">
        <v>252</v>
      </c>
      <c r="C90" s="3" t="s">
        <v>66</v>
      </c>
      <c r="D90" s="123">
        <f>$D$68</f>
        <v>12</v>
      </c>
    </row>
    <row r="91" spans="1:4" x14ac:dyDescent="0.25">
      <c r="B91" s="3" t="s">
        <v>230</v>
      </c>
      <c r="C91" s="3" t="s">
        <v>253</v>
      </c>
      <c r="D91" s="123">
        <f>D64</f>
        <v>26057.916666666664</v>
      </c>
    </row>
    <row r="92" spans="1:4" x14ac:dyDescent="0.25">
      <c r="B92" s="3" t="s">
        <v>65</v>
      </c>
      <c r="C92" s="3" t="s">
        <v>66</v>
      </c>
      <c r="D92" s="123">
        <f>D55</f>
        <v>5</v>
      </c>
    </row>
    <row r="93" spans="1:4" x14ac:dyDescent="0.25">
      <c r="B93" s="3" t="s">
        <v>254</v>
      </c>
      <c r="C93" s="3" t="s">
        <v>66</v>
      </c>
      <c r="D93" s="123">
        <f>D92</f>
        <v>5</v>
      </c>
    </row>
    <row r="94" spans="1:4" x14ac:dyDescent="0.25">
      <c r="B94" s="3" t="s">
        <v>255</v>
      </c>
      <c r="C94" s="3" t="str">
        <f>Input!C5&amp;" /Pc"</f>
        <v>INR /Pc</v>
      </c>
      <c r="D94" s="123">
        <f>_xlfn.XLOOKUP(B94,Backup!B:B,Backup!F:F)</f>
        <v>521.35</v>
      </c>
    </row>
    <row r="95" spans="1:4" x14ac:dyDescent="0.25">
      <c r="B95" s="3" t="s">
        <v>256</v>
      </c>
      <c r="C95" s="3" t="str">
        <f>Input!C5</f>
        <v>INR</v>
      </c>
      <c r="D95" s="123">
        <f>D93*D94</f>
        <v>2606.75</v>
      </c>
    </row>
    <row r="96" spans="1:4" x14ac:dyDescent="0.25">
      <c r="B96" s="3" t="s">
        <v>251</v>
      </c>
      <c r="C96" s="3" t="s">
        <v>257</v>
      </c>
      <c r="D96" s="123">
        <f>D95*1000/(D91*D47)</f>
        <v>10.003677705112011</v>
      </c>
    </row>
    <row r="97" spans="1:4" x14ac:dyDescent="0.25">
      <c r="B97" s="3"/>
      <c r="C97" s="3"/>
      <c r="D97" s="133"/>
    </row>
    <row r="98" spans="1:4" x14ac:dyDescent="0.25">
      <c r="B98" s="5" t="s">
        <v>89</v>
      </c>
      <c r="C98" s="3"/>
      <c r="D98" s="128" t="str">
        <f>_xlfn.XLOOKUP($B98,Input!A:A,Input!C:C,0)</f>
        <v>N</v>
      </c>
    </row>
    <row r="99" spans="1:4" x14ac:dyDescent="0.25">
      <c r="B99" s="3" t="s">
        <v>616</v>
      </c>
      <c r="C99" s="3"/>
      <c r="D99" s="123" t="str">
        <f>_xlfn.XLOOKUP(B99,Input!$A:$A,Input!$C:$C,0)</f>
        <v>Unison</v>
      </c>
    </row>
    <row r="100" spans="1:4" x14ac:dyDescent="0.25">
      <c r="B100" s="3" t="s">
        <v>169</v>
      </c>
      <c r="C100" s="3" t="s">
        <v>258</v>
      </c>
      <c r="D100" s="123">
        <v>2</v>
      </c>
    </row>
    <row r="101" spans="1:4" x14ac:dyDescent="0.25">
      <c r="B101" s="3" t="s">
        <v>235</v>
      </c>
      <c r="C101" s="3" t="s">
        <v>66</v>
      </c>
      <c r="D101" s="123">
        <f>$D$68</f>
        <v>12</v>
      </c>
    </row>
    <row r="102" spans="1:4" x14ac:dyDescent="0.25">
      <c r="B102" s="3" t="s">
        <v>236</v>
      </c>
      <c r="C102" s="3" t="s">
        <v>237</v>
      </c>
      <c r="D102" s="128">
        <v>30</v>
      </c>
    </row>
    <row r="103" spans="1:4" x14ac:dyDescent="0.25">
      <c r="A103" s="1" t="s">
        <v>259</v>
      </c>
      <c r="B103" s="3" t="s">
        <v>238</v>
      </c>
      <c r="C103" s="3" t="s">
        <v>260</v>
      </c>
      <c r="D103" s="123">
        <f>VLOOKUP($D$99,Machine,COLUMNS(Backup!$C$19:$E$19),0)*25%</f>
        <v>1250</v>
      </c>
    </row>
    <row r="104" spans="1:4" x14ac:dyDescent="0.25">
      <c r="B104" s="3" t="s">
        <v>240</v>
      </c>
      <c r="C104" s="3" t="s">
        <v>66</v>
      </c>
      <c r="D104" s="123">
        <f>D102*D103/60</f>
        <v>625</v>
      </c>
    </row>
    <row r="105" spans="1:4" x14ac:dyDescent="0.25">
      <c r="A105" s="1" t="s">
        <v>579</v>
      </c>
      <c r="B105" s="3" t="s">
        <v>241</v>
      </c>
      <c r="C105" s="3" t="s">
        <v>109</v>
      </c>
      <c r="D105" s="215">
        <f>IF(D98="N",0,D104/D64)</f>
        <v>0</v>
      </c>
    </row>
    <row r="106" spans="1:4" x14ac:dyDescent="0.25">
      <c r="B106" s="3" t="s">
        <v>261</v>
      </c>
      <c r="C106" s="3" t="s">
        <v>233</v>
      </c>
      <c r="D106" s="123">
        <f>IF(D98="N",0,D104/(D102*C$2)/60*D101)</f>
        <v>0</v>
      </c>
    </row>
    <row r="107" spans="1:4" x14ac:dyDescent="0.25">
      <c r="B107" s="3" t="s">
        <v>262</v>
      </c>
      <c r="C107" s="3" t="s">
        <v>260</v>
      </c>
      <c r="D107" s="123">
        <f>VLOOKUP($D$99,Machine,COLUMNS(Backup!$C$19:$E$19),0)</f>
        <v>5000</v>
      </c>
    </row>
    <row r="108" spans="1:4" x14ac:dyDescent="0.25">
      <c r="B108" s="3" t="s">
        <v>263</v>
      </c>
      <c r="C108" s="3" t="s">
        <v>233</v>
      </c>
      <c r="D108" s="123">
        <f>IF(D98="N",0,D91/(D107*C$2))*D101</f>
        <v>0</v>
      </c>
    </row>
    <row r="109" spans="1:4" x14ac:dyDescent="0.25">
      <c r="B109" s="3"/>
      <c r="C109" s="3"/>
      <c r="D109" s="133"/>
    </row>
    <row r="110" spans="1:4" x14ac:dyDescent="0.25">
      <c r="B110" s="3" t="s">
        <v>264</v>
      </c>
      <c r="C110" s="3" t="s">
        <v>233</v>
      </c>
      <c r="D110" s="123">
        <f>D106+D108</f>
        <v>0</v>
      </c>
    </row>
    <row r="111" spans="1:4" x14ac:dyDescent="0.25">
      <c r="B111" s="3" t="s">
        <v>448</v>
      </c>
      <c r="C111" s="3"/>
      <c r="D111" s="123">
        <f>D110/$C$5</f>
        <v>0</v>
      </c>
    </row>
    <row r="112" spans="1:4" x14ac:dyDescent="0.25">
      <c r="B112" s="3"/>
      <c r="C112" s="3"/>
      <c r="D112" s="133"/>
    </row>
    <row r="113" spans="1:5" x14ac:dyDescent="0.25">
      <c r="B113" s="5" t="s">
        <v>94</v>
      </c>
      <c r="C113" s="3"/>
      <c r="D113" s="128" t="str">
        <f>_xlfn.XLOOKUP($B113,Input!A:A,Input!C:C,0)</f>
        <v>N</v>
      </c>
    </row>
    <row r="114" spans="1:5" x14ac:dyDescent="0.25">
      <c r="B114" s="3" t="s">
        <v>617</v>
      </c>
      <c r="C114" s="3"/>
      <c r="D114" s="123" t="str">
        <f>_xlfn.XLOOKUP(B114,Input!$A:$A,Input!$C:$C,0)</f>
        <v>Hot Foil Machine</v>
      </c>
    </row>
    <row r="115" spans="1:5" x14ac:dyDescent="0.25">
      <c r="B115" s="3" t="s">
        <v>265</v>
      </c>
      <c r="C115" s="3" t="s">
        <v>258</v>
      </c>
      <c r="D115" s="123">
        <v>2</v>
      </c>
    </row>
    <row r="116" spans="1:5" x14ac:dyDescent="0.25">
      <c r="B116" s="3" t="s">
        <v>235</v>
      </c>
      <c r="C116" s="3" t="s">
        <v>66</v>
      </c>
      <c r="D116" s="123">
        <f>$D$68</f>
        <v>12</v>
      </c>
    </row>
    <row r="117" spans="1:5" x14ac:dyDescent="0.25">
      <c r="B117" s="3" t="s">
        <v>236</v>
      </c>
      <c r="C117" s="3" t="s">
        <v>237</v>
      </c>
      <c r="D117" s="123">
        <v>30</v>
      </c>
    </row>
    <row r="118" spans="1:5" x14ac:dyDescent="0.25">
      <c r="B118" s="3" t="s">
        <v>238</v>
      </c>
      <c r="C118" s="3" t="s">
        <v>260</v>
      </c>
      <c r="D118" s="123">
        <f>VLOOKUP($D$114,Machine,COLUMNS(Backup!$C$19:$E$19),0)*25%</f>
        <v>1250</v>
      </c>
    </row>
    <row r="119" spans="1:5" x14ac:dyDescent="0.25">
      <c r="B119" s="3" t="s">
        <v>240</v>
      </c>
      <c r="C119" s="3" t="s">
        <v>66</v>
      </c>
      <c r="D119" s="123">
        <f>D117*D118/60</f>
        <v>625</v>
      </c>
      <c r="E119" s="205"/>
    </row>
    <row r="120" spans="1:5" x14ac:dyDescent="0.25">
      <c r="A120" s="1" t="s">
        <v>579</v>
      </c>
      <c r="B120" s="3" t="s">
        <v>241</v>
      </c>
      <c r="C120" s="3" t="s">
        <v>109</v>
      </c>
      <c r="D120" s="215">
        <f>IF(D113="N",0,D119/D64)</f>
        <v>0</v>
      </c>
    </row>
    <row r="121" spans="1:5" x14ac:dyDescent="0.25">
      <c r="B121" s="3" t="s">
        <v>261</v>
      </c>
      <c r="C121" s="3" t="s">
        <v>233</v>
      </c>
      <c r="D121" s="123">
        <f>IF(D113="N",0,D119/(D117*C$2)/60*D116)</f>
        <v>0</v>
      </c>
      <c r="E121" s="205"/>
    </row>
    <row r="122" spans="1:5" x14ac:dyDescent="0.25">
      <c r="B122" s="3" t="s">
        <v>262</v>
      </c>
      <c r="C122" s="3" t="s">
        <v>260</v>
      </c>
      <c r="D122" s="123">
        <f>VLOOKUP($D$114,Machine,COLUMNS(Backup!$C$19:$E$19),0)</f>
        <v>5000</v>
      </c>
    </row>
    <row r="123" spans="1:5" x14ac:dyDescent="0.25">
      <c r="B123" s="3" t="s">
        <v>263</v>
      </c>
      <c r="C123" s="3" t="s">
        <v>233</v>
      </c>
      <c r="D123" s="123">
        <f>IF(D113="N",0,D91/(D122*C$2))*D116</f>
        <v>0</v>
      </c>
    </row>
    <row r="124" spans="1:5" x14ac:dyDescent="0.25">
      <c r="B124" s="3"/>
      <c r="C124" s="3"/>
      <c r="D124" s="133"/>
    </row>
    <row r="125" spans="1:5" x14ac:dyDescent="0.25">
      <c r="B125" s="3" t="s">
        <v>264</v>
      </c>
      <c r="C125" s="3" t="s">
        <v>233</v>
      </c>
      <c r="D125" s="123">
        <f>D121+D123</f>
        <v>0</v>
      </c>
    </row>
    <row r="126" spans="1:5" x14ac:dyDescent="0.25">
      <c r="B126" s="3" t="s">
        <v>448</v>
      </c>
      <c r="C126" s="3"/>
      <c r="D126" s="123">
        <f>D125/$C$5</f>
        <v>0</v>
      </c>
    </row>
    <row r="127" spans="1:5" x14ac:dyDescent="0.25">
      <c r="B127" s="3"/>
      <c r="C127" s="3"/>
      <c r="D127" s="133"/>
    </row>
    <row r="128" spans="1:5" x14ac:dyDescent="0.25">
      <c r="B128" s="4" t="s">
        <v>266</v>
      </c>
      <c r="C128" s="3"/>
      <c r="D128" s="128"/>
    </row>
    <row r="129" spans="1:4" x14ac:dyDescent="0.25">
      <c r="B129" s="3" t="s">
        <v>267</v>
      </c>
      <c r="C129" s="3" t="s">
        <v>253</v>
      </c>
      <c r="D129" s="128">
        <f>20*10^5</f>
        <v>2000000</v>
      </c>
    </row>
    <row r="130" spans="1:4" x14ac:dyDescent="0.25">
      <c r="B130" s="3" t="s">
        <v>268</v>
      </c>
      <c r="C130" s="3" t="s">
        <v>253</v>
      </c>
      <c r="D130" s="123">
        <f>D61/$D$47</f>
        <v>312695</v>
      </c>
    </row>
    <row r="131" spans="1:4" x14ac:dyDescent="0.25">
      <c r="B131" s="3" t="s">
        <v>266</v>
      </c>
      <c r="C131" s="3" t="str">
        <f>Input!$C$5&amp;" /Pc"</f>
        <v>INR /Pc</v>
      </c>
      <c r="D131" s="123">
        <f>_xlfn.XLOOKUP(B131,Backup!B:B,Backup!F:F)</f>
        <v>10427</v>
      </c>
    </row>
    <row r="132" spans="1:4" x14ac:dyDescent="0.25">
      <c r="B132" s="3" t="s">
        <v>266</v>
      </c>
      <c r="C132" s="3" t="s">
        <v>257</v>
      </c>
      <c r="D132" s="128">
        <f>IF(D113="N",0,D131*1000/(D129*D47))</f>
        <v>0</v>
      </c>
    </row>
    <row r="133" spans="1:4" x14ac:dyDescent="0.25">
      <c r="B133" s="3"/>
      <c r="C133" s="3"/>
      <c r="D133" s="133"/>
    </row>
    <row r="134" spans="1:4" x14ac:dyDescent="0.25">
      <c r="B134" s="5" t="s">
        <v>36</v>
      </c>
      <c r="C134" s="3"/>
      <c r="D134" s="128" t="str">
        <f>_xlfn.XLOOKUP($B134,Input!A:A,Input!C:C,0)</f>
        <v>N</v>
      </c>
    </row>
    <row r="135" spans="1:4" x14ac:dyDescent="0.25">
      <c r="B135" s="3" t="s">
        <v>281</v>
      </c>
      <c r="C135" s="3"/>
      <c r="D135" s="123" t="str">
        <f>_xlfn.XLOOKUP(B135,Input!$A:$A,Input!$C:$C,0)</f>
        <v>Kompac KwikPrint / EZ Koat</v>
      </c>
    </row>
    <row r="136" spans="1:4" x14ac:dyDescent="0.25">
      <c r="B136" s="3" t="s">
        <v>235</v>
      </c>
      <c r="C136" s="3" t="s">
        <v>66</v>
      </c>
      <c r="D136" s="123">
        <f>$D$68</f>
        <v>12</v>
      </c>
    </row>
    <row r="137" spans="1:4" x14ac:dyDescent="0.25">
      <c r="B137" s="3" t="s">
        <v>236</v>
      </c>
      <c r="C137" s="3" t="s">
        <v>237</v>
      </c>
      <c r="D137" s="123">
        <v>60</v>
      </c>
    </row>
    <row r="138" spans="1:4" x14ac:dyDescent="0.25">
      <c r="A138" s="1" t="s">
        <v>269</v>
      </c>
      <c r="B138" s="3" t="s">
        <v>238</v>
      </c>
      <c r="C138" s="3" t="s">
        <v>260</v>
      </c>
      <c r="D138" s="123">
        <f>VLOOKUP($D$135,Machine,COLUMNS(Backup!$C$19:$E$19),0)*25%</f>
        <v>882.35294117647061</v>
      </c>
    </row>
    <row r="139" spans="1:4" x14ac:dyDescent="0.25">
      <c r="B139" s="3" t="s">
        <v>240</v>
      </c>
      <c r="C139" s="3" t="s">
        <v>66</v>
      </c>
      <c r="D139" s="123">
        <f>D137*D138/60</f>
        <v>882.35294117647061</v>
      </c>
    </row>
    <row r="140" spans="1:4" x14ac:dyDescent="0.25">
      <c r="A140" s="1" t="s">
        <v>579</v>
      </c>
      <c r="B140" s="3" t="s">
        <v>241</v>
      </c>
      <c r="C140" s="3" t="s">
        <v>109</v>
      </c>
      <c r="D140" s="215">
        <f>IF(D134="N",0,D139/$D$64)</f>
        <v>0</v>
      </c>
    </row>
    <row r="141" spans="1:4" x14ac:dyDescent="0.25">
      <c r="B141" s="3" t="s">
        <v>261</v>
      </c>
      <c r="C141" s="3" t="s">
        <v>233</v>
      </c>
      <c r="D141" s="123">
        <f>IF(D134="N",0,D139/(D137*C$2)/60*D136)</f>
        <v>0</v>
      </c>
    </row>
    <row r="142" spans="1:4" x14ac:dyDescent="0.25">
      <c r="B142" s="3" t="s">
        <v>262</v>
      </c>
      <c r="C142" s="3" t="s">
        <v>260</v>
      </c>
      <c r="D142" s="123">
        <f>VLOOKUP($D$135,Machine,COLUMNS(Backup!$C$19:$E$19),0)</f>
        <v>3529.4117647058824</v>
      </c>
    </row>
    <row r="143" spans="1:4" x14ac:dyDescent="0.25">
      <c r="B143" s="3" t="s">
        <v>263</v>
      </c>
      <c r="C143" s="3" t="s">
        <v>233</v>
      </c>
      <c r="D143" s="123">
        <f>IF(D134="N",0,$D$91/(D142*C$2))*D136</f>
        <v>0</v>
      </c>
    </row>
    <row r="144" spans="1:4" x14ac:dyDescent="0.25">
      <c r="B144" s="3"/>
      <c r="C144" s="3"/>
      <c r="D144" s="133"/>
    </row>
    <row r="145" spans="1:7" x14ac:dyDescent="0.25">
      <c r="B145" s="3" t="s">
        <v>264</v>
      </c>
      <c r="C145" s="3" t="s">
        <v>233</v>
      </c>
      <c r="D145" s="123">
        <f>D141+D143</f>
        <v>0</v>
      </c>
    </row>
    <row r="146" spans="1:7" x14ac:dyDescent="0.25">
      <c r="B146" s="3" t="s">
        <v>448</v>
      </c>
      <c r="C146" s="3"/>
      <c r="D146" s="123">
        <f>D145/$C$5</f>
        <v>0</v>
      </c>
    </row>
    <row r="147" spans="1:7" x14ac:dyDescent="0.25">
      <c r="B147" s="3"/>
      <c r="C147" s="3"/>
      <c r="D147" s="133"/>
    </row>
    <row r="148" spans="1:7" x14ac:dyDescent="0.25">
      <c r="B148" s="5" t="str">
        <f>Material!B85</f>
        <v>Window Carton</v>
      </c>
      <c r="C148" s="3"/>
      <c r="D148" s="128" t="str">
        <f>_xlfn.XLOOKUP($B148,Input!A:A,Input!C:C,0)</f>
        <v>N</v>
      </c>
    </row>
    <row r="149" spans="1:7" x14ac:dyDescent="0.25">
      <c r="B149" s="3" t="s">
        <v>625</v>
      </c>
      <c r="C149" s="3"/>
      <c r="D149" s="128" t="str">
        <f>_xlfn.XLOOKUP($B149,Input!A:A,Input!C:C,0)</f>
        <v>Medium automatic window patcher</v>
      </c>
    </row>
    <row r="150" spans="1:7" x14ac:dyDescent="0.25">
      <c r="B150" s="3" t="s">
        <v>235</v>
      </c>
      <c r="C150" s="3" t="s">
        <v>66</v>
      </c>
      <c r="D150" s="123">
        <f>$D$68</f>
        <v>12</v>
      </c>
    </row>
    <row r="151" spans="1:7" x14ac:dyDescent="0.25">
      <c r="B151" s="3" t="s">
        <v>236</v>
      </c>
      <c r="C151" s="3" t="s">
        <v>237</v>
      </c>
      <c r="D151" s="123">
        <v>30</v>
      </c>
    </row>
    <row r="152" spans="1:7" x14ac:dyDescent="0.25">
      <c r="B152" s="3" t="s">
        <v>238</v>
      </c>
      <c r="C152" s="3" t="s">
        <v>260</v>
      </c>
      <c r="D152" s="123">
        <f>VLOOKUP($D$149,Machine,COLUMNS(Backup!$C$19:$E$19),0)*10%</f>
        <v>180</v>
      </c>
    </row>
    <row r="153" spans="1:7" x14ac:dyDescent="0.25">
      <c r="B153" s="3" t="s">
        <v>240</v>
      </c>
      <c r="C153" s="3" t="s">
        <v>66</v>
      </c>
      <c r="D153" s="123">
        <f>D151*D152/60</f>
        <v>90</v>
      </c>
    </row>
    <row r="154" spans="1:7" x14ac:dyDescent="0.25">
      <c r="A154" s="1" t="s">
        <v>579</v>
      </c>
      <c r="B154" s="3" t="s">
        <v>241</v>
      </c>
      <c r="C154" s="3" t="s">
        <v>109</v>
      </c>
      <c r="D154" s="215">
        <f>IF(D148="N",0,D153/$D$64)</f>
        <v>0</v>
      </c>
    </row>
    <row r="155" spans="1:7" x14ac:dyDescent="0.25">
      <c r="B155" s="3" t="s">
        <v>261</v>
      </c>
      <c r="C155" s="3" t="s">
        <v>233</v>
      </c>
      <c r="D155" s="123">
        <f>IF(D148="N",0,D153/(D151*C$2)/60*D150)</f>
        <v>0</v>
      </c>
    </row>
    <row r="156" spans="1:7" x14ac:dyDescent="0.25">
      <c r="B156" s="3" t="s">
        <v>262</v>
      </c>
      <c r="C156" s="3" t="s">
        <v>260</v>
      </c>
      <c r="D156" s="123">
        <f>VLOOKUP($D$149,Machine,COLUMNS(Backup!$C$19:$E$19),0)</f>
        <v>1800</v>
      </c>
      <c r="F156" s="37"/>
      <c r="G156" s="37"/>
    </row>
    <row r="157" spans="1:7" x14ac:dyDescent="0.25">
      <c r="B157" s="3" t="s">
        <v>263</v>
      </c>
      <c r="C157" s="3" t="s">
        <v>233</v>
      </c>
      <c r="D157" s="123">
        <f>IF(D148="N",0,$D$91/(D156*C$2))*D150</f>
        <v>0</v>
      </c>
    </row>
    <row r="158" spans="1:7" x14ac:dyDescent="0.25">
      <c r="B158" s="3"/>
      <c r="C158" s="3"/>
      <c r="D158" s="133"/>
    </row>
    <row r="159" spans="1:7" x14ac:dyDescent="0.25">
      <c r="B159" s="3" t="s">
        <v>264</v>
      </c>
      <c r="C159" s="3" t="s">
        <v>233</v>
      </c>
      <c r="D159" s="123">
        <f>D155+D157</f>
        <v>0</v>
      </c>
    </row>
    <row r="160" spans="1:7" x14ac:dyDescent="0.25">
      <c r="B160" s="3" t="s">
        <v>448</v>
      </c>
      <c r="C160" s="3"/>
      <c r="D160" s="123">
        <f>D159/$C$5</f>
        <v>0</v>
      </c>
    </row>
    <row r="161" spans="1:4" x14ac:dyDescent="0.25">
      <c r="B161" s="3"/>
      <c r="C161" s="3"/>
      <c r="D161" s="133"/>
    </row>
    <row r="162" spans="1:4" x14ac:dyDescent="0.25">
      <c r="B162" s="5" t="s">
        <v>270</v>
      </c>
      <c r="C162" s="3"/>
      <c r="D162" s="128"/>
    </row>
    <row r="163" spans="1:4" x14ac:dyDescent="0.25">
      <c r="B163" s="3" t="s">
        <v>618</v>
      </c>
      <c r="C163" s="3"/>
      <c r="D163" s="123" t="str">
        <f>_xlfn.XLOOKUP(B163,Input!$A:$A,Input!$C:$C,0)</f>
        <v>Bobst Mastercut</v>
      </c>
    </row>
    <row r="164" spans="1:4" x14ac:dyDescent="0.25">
      <c r="B164" s="3" t="s">
        <v>235</v>
      </c>
      <c r="C164" s="3" t="s">
        <v>66</v>
      </c>
      <c r="D164" s="123">
        <f>$D$68</f>
        <v>12</v>
      </c>
    </row>
    <row r="165" spans="1:4" x14ac:dyDescent="0.25">
      <c r="B165" s="3" t="s">
        <v>236</v>
      </c>
      <c r="C165" s="3" t="s">
        <v>237</v>
      </c>
      <c r="D165" s="123">
        <v>30</v>
      </c>
    </row>
    <row r="166" spans="1:4" x14ac:dyDescent="0.25">
      <c r="B166" s="3" t="s">
        <v>238</v>
      </c>
      <c r="C166" s="3" t="s">
        <v>260</v>
      </c>
      <c r="D166" s="123">
        <f>VLOOKUP($D$163,Machine,COLUMNS(Backup!$C$19:$E$19),0)*25%</f>
        <v>1875</v>
      </c>
    </row>
    <row r="167" spans="1:4" x14ac:dyDescent="0.25">
      <c r="B167" s="3" t="s">
        <v>240</v>
      </c>
      <c r="C167" s="3" t="s">
        <v>66</v>
      </c>
      <c r="D167" s="123">
        <f>D165*D166/60</f>
        <v>937.5</v>
      </c>
    </row>
    <row r="168" spans="1:4" x14ac:dyDescent="0.25">
      <c r="A168" s="1" t="s">
        <v>579</v>
      </c>
      <c r="B168" s="3" t="s">
        <v>241</v>
      </c>
      <c r="C168" s="3" t="s">
        <v>109</v>
      </c>
      <c r="D168" s="215">
        <f>D167/D64</f>
        <v>3.5977550008794518E-2</v>
      </c>
    </row>
    <row r="169" spans="1:4" x14ac:dyDescent="0.25">
      <c r="B169" s="3" t="s">
        <v>261</v>
      </c>
      <c r="C169" s="3" t="s">
        <v>233</v>
      </c>
      <c r="D169" s="123">
        <f>D167/(D165*C$2)/60*D164</f>
        <v>7.8125</v>
      </c>
    </row>
    <row r="170" spans="1:4" x14ac:dyDescent="0.25">
      <c r="B170" s="3" t="s">
        <v>262</v>
      </c>
      <c r="C170" s="3" t="s">
        <v>260</v>
      </c>
      <c r="D170" s="123">
        <f>VLOOKUP($D$163,Machine,COLUMNS(Backup!$C$19:$E$19),0)</f>
        <v>7500</v>
      </c>
    </row>
    <row r="171" spans="1:4" x14ac:dyDescent="0.25">
      <c r="B171" s="3" t="s">
        <v>263</v>
      </c>
      <c r="C171" s="3" t="s">
        <v>233</v>
      </c>
      <c r="D171" s="123">
        <f>D91/(D170*C$2)*D164</f>
        <v>52.115833333333327</v>
      </c>
    </row>
    <row r="172" spans="1:4" x14ac:dyDescent="0.25">
      <c r="B172" s="3"/>
      <c r="C172" s="3"/>
      <c r="D172" s="133"/>
    </row>
    <row r="173" spans="1:4" x14ac:dyDescent="0.25">
      <c r="B173" s="3" t="s">
        <v>264</v>
      </c>
      <c r="C173" s="3" t="s">
        <v>233</v>
      </c>
      <c r="D173" s="123">
        <f>D169+D171</f>
        <v>59.928333333333327</v>
      </c>
    </row>
    <row r="174" spans="1:4" x14ac:dyDescent="0.25">
      <c r="B174" s="3" t="s">
        <v>448</v>
      </c>
      <c r="C174" s="3"/>
      <c r="D174" s="123">
        <f>D173/C5</f>
        <v>7.5667087542087537E-3</v>
      </c>
    </row>
    <row r="175" spans="1:4" x14ac:dyDescent="0.25">
      <c r="B175" s="3"/>
      <c r="C175" s="3"/>
      <c r="D175" s="133"/>
    </row>
    <row r="176" spans="1:4" x14ac:dyDescent="0.25">
      <c r="B176" s="4" t="s">
        <v>271</v>
      </c>
      <c r="C176" s="3"/>
      <c r="D176" s="123"/>
    </row>
    <row r="177" spans="1:4" x14ac:dyDescent="0.25">
      <c r="B177" s="3" t="s">
        <v>267</v>
      </c>
      <c r="C177" s="3" t="s">
        <v>253</v>
      </c>
      <c r="D177" s="123">
        <f>20*10^5</f>
        <v>2000000</v>
      </c>
    </row>
    <row r="178" spans="1:4" x14ac:dyDescent="0.25">
      <c r="B178" s="3" t="s">
        <v>268</v>
      </c>
      <c r="C178" s="3" t="s">
        <v>253</v>
      </c>
      <c r="D178" s="123">
        <f>D61/$D$47</f>
        <v>312695</v>
      </c>
    </row>
    <row r="179" spans="1:4" x14ac:dyDescent="0.25">
      <c r="B179" s="3" t="s">
        <v>272</v>
      </c>
      <c r="C179" s="3" t="str">
        <f>Input!$C$5&amp;" /Pc"</f>
        <v>INR /Pc</v>
      </c>
      <c r="D179" s="123">
        <f>_xlfn.XLOOKUP(B179,Backup!B:B,Backup!F:F)</f>
        <v>52135</v>
      </c>
    </row>
    <row r="180" spans="1:4" x14ac:dyDescent="0.25">
      <c r="B180" s="3" t="s">
        <v>272</v>
      </c>
      <c r="C180" s="3" t="s">
        <v>257</v>
      </c>
      <c r="D180" s="128">
        <f>D179*1000/(D177*D47)</f>
        <v>2.6067499999999999</v>
      </c>
    </row>
    <row r="181" spans="1:4" x14ac:dyDescent="0.25">
      <c r="B181" s="3"/>
      <c r="C181" s="3"/>
      <c r="D181" s="133"/>
    </row>
    <row r="182" spans="1:4" x14ac:dyDescent="0.25">
      <c r="B182" s="5" t="s">
        <v>273</v>
      </c>
      <c r="C182" s="3"/>
      <c r="D182" s="133"/>
    </row>
    <row r="183" spans="1:4" x14ac:dyDescent="0.25">
      <c r="B183" s="3" t="s">
        <v>619</v>
      </c>
      <c r="C183" s="3"/>
      <c r="D183" s="123" t="str">
        <f>_xlfn.XLOOKUP(B183,Input!$A:$A,Input!$C:$C,0)</f>
        <v>Bobst Masterfold</v>
      </c>
    </row>
    <row r="184" spans="1:4" x14ac:dyDescent="0.25">
      <c r="B184" s="3" t="s">
        <v>235</v>
      </c>
      <c r="C184" s="3" t="s">
        <v>66</v>
      </c>
      <c r="D184" s="123">
        <f>$D$68</f>
        <v>12</v>
      </c>
    </row>
    <row r="185" spans="1:4" x14ac:dyDescent="0.25">
      <c r="B185" s="3" t="s">
        <v>236</v>
      </c>
      <c r="C185" s="3" t="s">
        <v>237</v>
      </c>
      <c r="D185" s="123">
        <v>30</v>
      </c>
    </row>
    <row r="186" spans="1:4" x14ac:dyDescent="0.25">
      <c r="B186" s="3" t="s">
        <v>238</v>
      </c>
      <c r="C186" s="3" t="s">
        <v>260</v>
      </c>
      <c r="D186" s="123">
        <f>VLOOKUP($D$183,Machine,COLUMNS(Backup!$C$19:$E$19),0)*5%</f>
        <v>6000</v>
      </c>
    </row>
    <row r="187" spans="1:4" x14ac:dyDescent="0.25">
      <c r="B187" s="3" t="s">
        <v>240</v>
      </c>
      <c r="C187" s="3" t="s">
        <v>66</v>
      </c>
      <c r="D187" s="123">
        <f>D185*D186/60</f>
        <v>3000</v>
      </c>
    </row>
    <row r="188" spans="1:4" x14ac:dyDescent="0.25">
      <c r="A188" s="1" t="s">
        <v>579</v>
      </c>
      <c r="B188" s="3" t="s">
        <v>241</v>
      </c>
      <c r="C188" s="3"/>
      <c r="D188" s="215">
        <f>D187/D64</f>
        <v>0.11512816002814245</v>
      </c>
    </row>
    <row r="189" spans="1:4" x14ac:dyDescent="0.25">
      <c r="B189" s="3" t="s">
        <v>261</v>
      </c>
      <c r="C189" s="3" t="s">
        <v>233</v>
      </c>
      <c r="D189" s="123">
        <f>D186/(D185*C$2)/60*D184</f>
        <v>50</v>
      </c>
    </row>
    <row r="190" spans="1:4" x14ac:dyDescent="0.25">
      <c r="B190" s="3" t="s">
        <v>262</v>
      </c>
      <c r="C190" s="3" t="s">
        <v>274</v>
      </c>
      <c r="D190" s="123">
        <f>VLOOKUP($D$183,Machine,COLUMNS(Backup!$C$19:$E$19),0)</f>
        <v>120000</v>
      </c>
    </row>
    <row r="191" spans="1:4" x14ac:dyDescent="0.25">
      <c r="B191" s="3" t="s">
        <v>263</v>
      </c>
      <c r="C191" s="3" t="s">
        <v>233</v>
      </c>
      <c r="D191" s="123">
        <f>D62/(D190*C$2)*D184</f>
        <v>32.572395833333331</v>
      </c>
    </row>
    <row r="192" spans="1:4" x14ac:dyDescent="0.25">
      <c r="B192" s="3" t="s">
        <v>448</v>
      </c>
      <c r="C192" s="3"/>
      <c r="D192" s="123">
        <f>D191/$C$5</f>
        <v>4.112676241582491E-3</v>
      </c>
    </row>
    <row r="193" spans="1:8" x14ac:dyDescent="0.25">
      <c r="B193" s="3" t="s">
        <v>264</v>
      </c>
      <c r="C193" s="3" t="s">
        <v>233</v>
      </c>
      <c r="D193" s="123">
        <f>D189+D191</f>
        <v>82.572395833333331</v>
      </c>
    </row>
    <row r="194" spans="1:8" x14ac:dyDescent="0.25">
      <c r="B194" s="3" t="s">
        <v>448</v>
      </c>
      <c r="C194" s="3"/>
      <c r="D194" s="123">
        <f>D193/$C$5</f>
        <v>1.0425807554713805E-2</v>
      </c>
    </row>
    <row r="195" spans="1:8" x14ac:dyDescent="0.25">
      <c r="B195" s="3"/>
      <c r="C195" s="3"/>
      <c r="D195" s="137"/>
    </row>
    <row r="196" spans="1:8" x14ac:dyDescent="0.25">
      <c r="B196" s="3" t="s">
        <v>579</v>
      </c>
      <c r="C196" s="3"/>
      <c r="D196" s="215">
        <f>SUMIF($A$84:$A$191,$B$196,$D$84:$D$191)</f>
        <v>0.1791202289771183</v>
      </c>
    </row>
    <row r="197" spans="1:8" x14ac:dyDescent="0.25">
      <c r="B197" s="3"/>
      <c r="C197" s="3"/>
      <c r="D197" s="133"/>
    </row>
    <row r="198" spans="1:8" ht="13.8" x14ac:dyDescent="0.3">
      <c r="B198" s="27" t="s">
        <v>110</v>
      </c>
      <c r="C198" s="38" t="s">
        <v>111</v>
      </c>
      <c r="D198" s="135">
        <f>_xlfn.XLOOKUP($B198,Input!A:A,Input!C:C,0)</f>
        <v>5</v>
      </c>
      <c r="F198" s="45"/>
      <c r="G198" s="45"/>
      <c r="H198" s="45"/>
    </row>
    <row r="199" spans="1:8" x14ac:dyDescent="0.25">
      <c r="B199" s="3" t="s">
        <v>23</v>
      </c>
      <c r="C199" s="3" t="str">
        <f>Input!$C$5</f>
        <v>INR</v>
      </c>
      <c r="D199" s="123">
        <f>VLOOKUP(D198,Depreciation_Sch,COLUMNS($A$396:$D$396),0)</f>
        <v>128110.80937911954</v>
      </c>
    </row>
    <row r="200" spans="1:8" x14ac:dyDescent="0.25">
      <c r="A200" s="1" t="s">
        <v>5</v>
      </c>
      <c r="B200" s="4" t="s">
        <v>23</v>
      </c>
      <c r="C200" s="29" t="str">
        <f>Input!$C$5&amp;" /1000pcs"</f>
        <v>INR /1000pcs</v>
      </c>
      <c r="D200" s="123">
        <f>D199*1000/$D$61</f>
        <v>40.969893787594792</v>
      </c>
    </row>
    <row r="201" spans="1:8" x14ac:dyDescent="0.25">
      <c r="B201" s="3"/>
      <c r="C201" s="3"/>
      <c r="D201" s="133"/>
    </row>
    <row r="202" spans="1:8" x14ac:dyDescent="0.25">
      <c r="B202" s="3" t="s">
        <v>121</v>
      </c>
      <c r="C202" s="38" t="s">
        <v>109</v>
      </c>
      <c r="D202" s="215">
        <f>_xlfn.XLOOKUP($B202,Input!A:A,Input!C:C,0)</f>
        <v>0.125</v>
      </c>
    </row>
    <row r="203" spans="1:8" x14ac:dyDescent="0.25">
      <c r="B203" s="3" t="s">
        <v>121</v>
      </c>
      <c r="C203" s="3" t="str">
        <f>Input!$C$5</f>
        <v>INR</v>
      </c>
      <c r="D203" s="123">
        <f>VLOOKUP(D198,Interest_Sch,COLUMNS($A$445:$D$445),0)</f>
        <v>157631.05745738142</v>
      </c>
    </row>
    <row r="204" spans="1:8" x14ac:dyDescent="0.25">
      <c r="A204" s="1" t="s">
        <v>5</v>
      </c>
      <c r="B204" s="4" t="s">
        <v>121</v>
      </c>
      <c r="C204" s="29" t="str">
        <f>Input!$C$5&amp;" /1000pcs"</f>
        <v>INR /1000pcs</v>
      </c>
      <c r="D204" s="123">
        <f>D203*1000/$D$61</f>
        <v>50.410482245440903</v>
      </c>
    </row>
    <row r="205" spans="1:8" x14ac:dyDescent="0.25">
      <c r="B205" s="3"/>
      <c r="C205" s="3"/>
      <c r="D205" s="133"/>
    </row>
    <row r="206" spans="1:8" x14ac:dyDescent="0.25">
      <c r="B206" s="3"/>
      <c r="C206" s="3"/>
      <c r="D206" s="133"/>
    </row>
    <row r="207" spans="1:8" x14ac:dyDescent="0.25">
      <c r="B207" s="3" t="s">
        <v>122</v>
      </c>
      <c r="C207" s="38" t="s">
        <v>109</v>
      </c>
      <c r="D207" s="215">
        <f>_xlfn.XLOOKUP($B207,Input!A:A,Input!C:C,0)</f>
        <v>0.14000000000000001</v>
      </c>
    </row>
    <row r="208" spans="1:8" x14ac:dyDescent="0.25">
      <c r="B208" s="3" t="s">
        <v>138</v>
      </c>
      <c r="C208" s="3" t="str">
        <f>Input!$C$5</f>
        <v>INR</v>
      </c>
      <c r="D208" s="123">
        <f>D272*D280/1000*D207</f>
        <v>4796.0327691722505</v>
      </c>
    </row>
    <row r="209" spans="1:4" x14ac:dyDescent="0.25">
      <c r="B209" s="3" t="s">
        <v>140</v>
      </c>
      <c r="C209" s="3" t="str">
        <f>Input!$C$5</f>
        <v>INR</v>
      </c>
      <c r="D209" s="123">
        <f>SUM(D280:D281)*D292/1000*D207</f>
        <v>10342.201966874063</v>
      </c>
    </row>
    <row r="210" spans="1:4" x14ac:dyDescent="0.25">
      <c r="B210" s="3" t="s">
        <v>583</v>
      </c>
      <c r="C210" s="3" t="str">
        <f>Input!$C$5</f>
        <v>INR</v>
      </c>
      <c r="D210" s="123">
        <f>D295*D332*D207</f>
        <v>199.57303841749734</v>
      </c>
    </row>
    <row r="211" spans="1:4" x14ac:dyDescent="0.25">
      <c r="A211" s="1" t="s">
        <v>5</v>
      </c>
      <c r="B211" s="4" t="s">
        <v>122</v>
      </c>
      <c r="C211" s="29" t="str">
        <f>Input!$C$5&amp;" /1000pcs"</f>
        <v>INR /1000pcs</v>
      </c>
      <c r="D211" s="123">
        <f>SUM(D208:D210)*1000/D61</f>
        <v>4.9050377442759912</v>
      </c>
    </row>
    <row r="212" spans="1:4" x14ac:dyDescent="0.25">
      <c r="B212" s="3"/>
      <c r="C212" s="3"/>
      <c r="D212" s="133"/>
    </row>
    <row r="213" spans="1:4" x14ac:dyDescent="0.25">
      <c r="B213" s="5" t="s">
        <v>275</v>
      </c>
      <c r="C213" s="3"/>
      <c r="D213" s="123"/>
    </row>
    <row r="214" spans="1:4" x14ac:dyDescent="0.25">
      <c r="B214" s="3" t="s">
        <v>276</v>
      </c>
      <c r="C214" s="38"/>
      <c r="D214" s="123"/>
    </row>
    <row r="215" spans="1:4" x14ac:dyDescent="0.25">
      <c r="B215" s="2" t="s">
        <v>277</v>
      </c>
      <c r="C215" s="38"/>
      <c r="D215" s="123"/>
    </row>
    <row r="216" spans="1:4" x14ac:dyDescent="0.25">
      <c r="B216" s="194" t="str">
        <f>D11</f>
        <v>KBA 8000</v>
      </c>
      <c r="C216" s="38" t="s">
        <v>278</v>
      </c>
      <c r="D216" s="123">
        <f>VLOOKUP(B216,Machine,COLUMNS(Backup!$C$19:$F$19),0)</f>
        <v>150</v>
      </c>
    </row>
    <row r="217" spans="1:4" x14ac:dyDescent="0.25">
      <c r="B217" s="194" t="str">
        <f>D99</f>
        <v>Unison</v>
      </c>
      <c r="C217" s="38" t="s">
        <v>278</v>
      </c>
      <c r="D217" s="123">
        <f>IF(D98="Y",VLOOKUP(B217,Machine,COLUMNS(Backup!$C$19:$F$19),0),0)</f>
        <v>0</v>
      </c>
    </row>
    <row r="218" spans="1:4" x14ac:dyDescent="0.25">
      <c r="B218" s="194" t="str">
        <f>D114</f>
        <v>Hot Foil Machine</v>
      </c>
      <c r="C218" s="38" t="s">
        <v>278</v>
      </c>
      <c r="D218" s="123">
        <f>IF(D113="Y",VLOOKUP(B218,Machine,COLUMNS(Backup!$C$19:$F$19),0),0)</f>
        <v>0</v>
      </c>
    </row>
    <row r="219" spans="1:4" x14ac:dyDescent="0.25">
      <c r="B219" s="194" t="str">
        <f>D135</f>
        <v>Kompac KwikPrint / EZ Koat</v>
      </c>
      <c r="C219" s="38" t="s">
        <v>278</v>
      </c>
      <c r="D219" s="123">
        <f>IF(D134="Y",VLOOKUP(B219,Machine,COLUMNS(Backup!$C$19:$F$19),0),0)</f>
        <v>0</v>
      </c>
    </row>
    <row r="220" spans="1:4" x14ac:dyDescent="0.25">
      <c r="B220" s="194" t="str">
        <f>D149</f>
        <v>Medium automatic window patcher</v>
      </c>
      <c r="C220" s="38" t="s">
        <v>278</v>
      </c>
      <c r="D220" s="123">
        <f>IF(D148="Y",VLOOKUP(B220,Machine,COLUMNS(Backup!$C$19:$F$19),0),0)</f>
        <v>0</v>
      </c>
    </row>
    <row r="221" spans="1:4" x14ac:dyDescent="0.25">
      <c r="B221" s="194" t="str">
        <f>D163</f>
        <v>Bobst Mastercut</v>
      </c>
      <c r="C221" s="38" t="s">
        <v>278</v>
      </c>
      <c r="D221" s="123">
        <f>VLOOKUP(B221,Machine,COLUMNS(Backup!$C$19:$F$19),0)</f>
        <v>50</v>
      </c>
    </row>
    <row r="222" spans="1:4" x14ac:dyDescent="0.25">
      <c r="B222" s="194" t="str">
        <f>D183</f>
        <v>Bobst Masterfold</v>
      </c>
      <c r="C222" s="38" t="s">
        <v>278</v>
      </c>
      <c r="D222" s="123">
        <f>VLOOKUP(B222,Machine,COLUMNS(Backup!$C$19:$F$19),0)</f>
        <v>50</v>
      </c>
    </row>
    <row r="223" spans="1:4" x14ac:dyDescent="0.25">
      <c r="B223" s="3" t="s">
        <v>284</v>
      </c>
      <c r="C223" s="38" t="s">
        <v>278</v>
      </c>
      <c r="D223" s="123">
        <f>SUM(D216:D222)*20%</f>
        <v>50</v>
      </c>
    </row>
    <row r="224" spans="1:4" x14ac:dyDescent="0.25">
      <c r="B224" s="3" t="s">
        <v>285</v>
      </c>
      <c r="C224" s="38" t="s">
        <v>278</v>
      </c>
      <c r="D224" s="123">
        <f>SUM(D216:D223)</f>
        <v>300</v>
      </c>
    </row>
    <row r="225" spans="2:4" x14ac:dyDescent="0.25">
      <c r="B225" s="3" t="s">
        <v>286</v>
      </c>
      <c r="C225" s="38" t="s">
        <v>278</v>
      </c>
      <c r="D225" s="135">
        <v>0.5</v>
      </c>
    </row>
    <row r="226" spans="2:4" x14ac:dyDescent="0.25">
      <c r="B226" s="3" t="s">
        <v>287</v>
      </c>
      <c r="C226" s="38" t="s">
        <v>278</v>
      </c>
      <c r="D226" s="123">
        <f>D224*D225</f>
        <v>150</v>
      </c>
    </row>
    <row r="227" spans="2:4" x14ac:dyDescent="0.25">
      <c r="B227" s="3"/>
      <c r="C227" s="38"/>
      <c r="D227" s="133"/>
    </row>
    <row r="228" spans="2:4" x14ac:dyDescent="0.25">
      <c r="B228" s="2" t="s">
        <v>580</v>
      </c>
      <c r="C228" s="38"/>
      <c r="D228" s="123"/>
    </row>
    <row r="229" spans="2:4" x14ac:dyDescent="0.25">
      <c r="B229" s="3" t="s">
        <v>288</v>
      </c>
      <c r="C229" s="38" t="s">
        <v>233</v>
      </c>
      <c r="D229" s="123">
        <f>D86</f>
        <v>47.322395833333331</v>
      </c>
    </row>
    <row r="230" spans="2:4" x14ac:dyDescent="0.25">
      <c r="B230" s="3" t="s">
        <v>289</v>
      </c>
      <c r="C230" s="38" t="s">
        <v>233</v>
      </c>
      <c r="D230" s="123">
        <f>D110</f>
        <v>0</v>
      </c>
    </row>
    <row r="231" spans="2:4" x14ac:dyDescent="0.25">
      <c r="B231" s="3" t="s">
        <v>290</v>
      </c>
      <c r="C231" s="38" t="s">
        <v>233</v>
      </c>
      <c r="D231" s="123">
        <f>D125</f>
        <v>0</v>
      </c>
    </row>
    <row r="232" spans="2:4" x14ac:dyDescent="0.25">
      <c r="B232" s="3" t="s">
        <v>291</v>
      </c>
      <c r="C232" s="38" t="s">
        <v>233</v>
      </c>
      <c r="D232" s="123">
        <f>D145</f>
        <v>0</v>
      </c>
    </row>
    <row r="233" spans="2:4" x14ac:dyDescent="0.25">
      <c r="B233" s="3" t="s">
        <v>623</v>
      </c>
      <c r="C233" s="38" t="s">
        <v>233</v>
      </c>
      <c r="D233" s="123">
        <f>D159</f>
        <v>0</v>
      </c>
    </row>
    <row r="234" spans="2:4" x14ac:dyDescent="0.25">
      <c r="B234" s="3" t="s">
        <v>292</v>
      </c>
      <c r="C234" s="38" t="s">
        <v>233</v>
      </c>
      <c r="D234" s="123">
        <f>D173</f>
        <v>59.928333333333327</v>
      </c>
    </row>
    <row r="235" spans="2:4" x14ac:dyDescent="0.25">
      <c r="B235" s="3" t="s">
        <v>293</v>
      </c>
      <c r="C235" s="38" t="s">
        <v>233</v>
      </c>
      <c r="D235" s="123">
        <f>D193</f>
        <v>82.572395833333331</v>
      </c>
    </row>
    <row r="236" spans="2:4" x14ac:dyDescent="0.25">
      <c r="B236" s="3" t="s">
        <v>294</v>
      </c>
      <c r="C236" s="38" t="s">
        <v>233</v>
      </c>
      <c r="D236" s="123">
        <f>SUM(D229:D235)</f>
        <v>189.823125</v>
      </c>
    </row>
    <row r="237" spans="2:4" x14ac:dyDescent="0.25">
      <c r="B237" s="3"/>
      <c r="C237" s="38"/>
      <c r="D237" s="133"/>
    </row>
    <row r="238" spans="2:4" x14ac:dyDescent="0.25">
      <c r="B238" s="2" t="s">
        <v>635</v>
      </c>
      <c r="C238" s="38"/>
      <c r="D238" s="133"/>
    </row>
    <row r="239" spans="2:4" x14ac:dyDescent="0.25">
      <c r="B239" s="3" t="s">
        <v>288</v>
      </c>
      <c r="C239" s="38" t="s">
        <v>636</v>
      </c>
      <c r="D239" s="128">
        <f>D216*D229</f>
        <v>7098.359375</v>
      </c>
    </row>
    <row r="240" spans="2:4" x14ac:dyDescent="0.25">
      <c r="B240" s="3" t="s">
        <v>289</v>
      </c>
      <c r="C240" s="38" t="s">
        <v>636</v>
      </c>
      <c r="D240" s="128">
        <f t="shared" ref="D240:D245" si="0">D217*D230</f>
        <v>0</v>
      </c>
    </row>
    <row r="241" spans="1:4" x14ac:dyDescent="0.25">
      <c r="B241" s="3" t="s">
        <v>290</v>
      </c>
      <c r="C241" s="38" t="s">
        <v>636</v>
      </c>
      <c r="D241" s="128">
        <f t="shared" si="0"/>
        <v>0</v>
      </c>
    </row>
    <row r="242" spans="1:4" x14ac:dyDescent="0.25">
      <c r="B242" s="3" t="s">
        <v>291</v>
      </c>
      <c r="C242" s="38" t="s">
        <v>636</v>
      </c>
      <c r="D242" s="128">
        <f t="shared" si="0"/>
        <v>0</v>
      </c>
    </row>
    <row r="243" spans="1:4" x14ac:dyDescent="0.25">
      <c r="B243" s="3" t="s">
        <v>623</v>
      </c>
      <c r="C243" s="38" t="s">
        <v>636</v>
      </c>
      <c r="D243" s="128">
        <f t="shared" si="0"/>
        <v>0</v>
      </c>
    </row>
    <row r="244" spans="1:4" x14ac:dyDescent="0.25">
      <c r="B244" s="3" t="s">
        <v>292</v>
      </c>
      <c r="C244" s="38" t="s">
        <v>636</v>
      </c>
      <c r="D244" s="128">
        <f t="shared" si="0"/>
        <v>2996.4166666666665</v>
      </c>
    </row>
    <row r="245" spans="1:4" x14ac:dyDescent="0.25">
      <c r="B245" s="3" t="s">
        <v>293</v>
      </c>
      <c r="C245" s="38" t="s">
        <v>636</v>
      </c>
      <c r="D245" s="128">
        <f t="shared" si="0"/>
        <v>4128.619791666667</v>
      </c>
    </row>
    <row r="246" spans="1:4" x14ac:dyDescent="0.25">
      <c r="B246" s="3" t="s">
        <v>284</v>
      </c>
      <c r="C246" s="38" t="s">
        <v>636</v>
      </c>
      <c r="D246" s="123">
        <f>SUM(D239:D245)*30%</f>
        <v>4267.0187499999993</v>
      </c>
    </row>
    <row r="247" spans="1:4" x14ac:dyDescent="0.25">
      <c r="B247" s="3" t="s">
        <v>294</v>
      </c>
      <c r="C247" s="38" t="s">
        <v>636</v>
      </c>
      <c r="D247" s="123">
        <f>SUM(D239:D246)</f>
        <v>18490.414583333331</v>
      </c>
    </row>
    <row r="248" spans="1:4" x14ac:dyDescent="0.25">
      <c r="B248" s="3"/>
      <c r="C248" s="38"/>
      <c r="D248" s="133"/>
    </row>
    <row r="249" spans="1:4" x14ac:dyDescent="0.25">
      <c r="B249" s="3" t="s">
        <v>17</v>
      </c>
      <c r="C249" s="3" t="str">
        <f>Input!$C$5&amp;" /KWH"</f>
        <v>INR /KWH</v>
      </c>
      <c r="D249" s="123">
        <f>_xlfn.XLOOKUP($B249,Input!A:A,Input!C:C,0)</f>
        <v>10.72</v>
      </c>
    </row>
    <row r="250" spans="1:4" x14ac:dyDescent="0.25">
      <c r="B250" s="3" t="s">
        <v>637</v>
      </c>
      <c r="C250" s="3" t="s">
        <v>278</v>
      </c>
      <c r="D250" s="123">
        <f>D247</f>
        <v>18490.414583333331</v>
      </c>
    </row>
    <row r="251" spans="1:4" x14ac:dyDescent="0.25">
      <c r="B251" s="3" t="s">
        <v>295</v>
      </c>
      <c r="C251" s="3" t="str">
        <f>Input!$C$5</f>
        <v>INR</v>
      </c>
      <c r="D251" s="123">
        <f>D250*D249</f>
        <v>198217.24433333334</v>
      </c>
    </row>
    <row r="252" spans="1:4" x14ac:dyDescent="0.25">
      <c r="A252" s="1" t="s">
        <v>5</v>
      </c>
      <c r="B252" s="4" t="s">
        <v>275</v>
      </c>
      <c r="C252" s="29" t="str">
        <f>Input!$C$5&amp;" /1000pcs"</f>
        <v>INR /1000pcs</v>
      </c>
      <c r="D252" s="123">
        <f>D251*1000/D61</f>
        <v>63.389962849848366</v>
      </c>
    </row>
    <row r="253" spans="1:4" x14ac:dyDescent="0.25">
      <c r="B253" s="3"/>
      <c r="C253" s="3"/>
      <c r="D253" s="133"/>
    </row>
    <row r="254" spans="1:4" x14ac:dyDescent="0.25">
      <c r="A254" s="1" t="s">
        <v>5</v>
      </c>
      <c r="B254" s="4" t="s">
        <v>296</v>
      </c>
      <c r="C254" s="29" t="str">
        <f>Input!$C$5&amp;" /1000pcs"</f>
        <v>INR /1000pcs</v>
      </c>
      <c r="D254" s="123">
        <f>J308*1000/D61</f>
        <v>54.855506638857364</v>
      </c>
    </row>
    <row r="255" spans="1:4" x14ac:dyDescent="0.25">
      <c r="B255" s="3"/>
      <c r="C255" s="3"/>
      <c r="D255" s="133"/>
    </row>
    <row r="256" spans="1:4" x14ac:dyDescent="0.25">
      <c r="B256" s="3" t="s">
        <v>20</v>
      </c>
      <c r="C256" s="3" t="s">
        <v>109</v>
      </c>
      <c r="D256" s="215">
        <f>_xlfn.XLOOKUP($B256,Input!A:A,Input!C:C,0)</f>
        <v>0.02</v>
      </c>
    </row>
    <row r="257" spans="1:4" x14ac:dyDescent="0.25">
      <c r="A257" s="1" t="s">
        <v>5</v>
      </c>
      <c r="B257" s="4" t="s">
        <v>20</v>
      </c>
      <c r="C257" s="29" t="str">
        <f>Input!$C$5&amp;" /1000pcs"</f>
        <v>INR /1000pcs</v>
      </c>
      <c r="D257" s="123">
        <f>D407*D256*1000/D61</f>
        <v>11.015501311703167</v>
      </c>
    </row>
    <row r="258" spans="1:4" x14ac:dyDescent="0.25">
      <c r="B258" s="3"/>
      <c r="C258" s="3"/>
      <c r="D258" s="133"/>
    </row>
    <row r="259" spans="1:4" x14ac:dyDescent="0.25">
      <c r="B259" s="3" t="s">
        <v>21</v>
      </c>
      <c r="C259" s="3" t="s">
        <v>109</v>
      </c>
      <c r="D259" s="215">
        <f>_xlfn.XLOOKUP($B259,Input!A:A,Input!C:C,0)</f>
        <v>0.02</v>
      </c>
    </row>
    <row r="260" spans="1:4" x14ac:dyDescent="0.25">
      <c r="A260" s="1" t="s">
        <v>5</v>
      </c>
      <c r="B260" s="4" t="s">
        <v>21</v>
      </c>
      <c r="C260" s="29" t="str">
        <f>Input!$C$5&amp;" /1000pcs"</f>
        <v>INR /1000pcs</v>
      </c>
      <c r="D260" s="123">
        <f>D407*D259*1000/D61</f>
        <v>11.015501311703167</v>
      </c>
    </row>
    <row r="261" spans="1:4" x14ac:dyDescent="0.25">
      <c r="B261" s="3"/>
      <c r="C261" s="3"/>
      <c r="D261" s="133"/>
    </row>
    <row r="262" spans="1:4" x14ac:dyDescent="0.25">
      <c r="A262" s="1" t="s">
        <v>5</v>
      </c>
      <c r="B262" s="4" t="s">
        <v>297</v>
      </c>
      <c r="C262" s="29" t="str">
        <f>Input!$C$5&amp;" /1000pcs"</f>
        <v>INR /1000pcs</v>
      </c>
      <c r="D262" s="123">
        <f>D346</f>
        <v>133.61234611737325</v>
      </c>
    </row>
    <row r="263" spans="1:4" x14ac:dyDescent="0.25">
      <c r="B263" s="3"/>
      <c r="C263" s="3"/>
      <c r="D263" s="133"/>
    </row>
    <row r="264" spans="1:4" x14ac:dyDescent="0.25">
      <c r="B264" s="4" t="s">
        <v>5</v>
      </c>
      <c r="C264" s="29" t="str">
        <f>Input!$C$5&amp;" /1000pcs"</f>
        <v>INR /1000pcs</v>
      </c>
      <c r="D264" s="123">
        <f>SUMIF($A$200:$A$262,$B$264,$D$200:$D$262)</f>
        <v>370.17423200679701</v>
      </c>
    </row>
    <row r="265" spans="1:4" x14ac:dyDescent="0.25">
      <c r="B265" s="5"/>
      <c r="C265" s="29"/>
      <c r="D265" s="138"/>
    </row>
    <row r="266" spans="1:4" x14ac:dyDescent="0.25">
      <c r="B266" s="3"/>
      <c r="C266" s="3"/>
      <c r="D266" s="123"/>
    </row>
    <row r="267" spans="1:4" x14ac:dyDescent="0.25">
      <c r="B267" s="3" t="s">
        <v>50</v>
      </c>
      <c r="C267" s="3"/>
      <c r="D267" s="123">
        <f>D61</f>
        <v>3126950</v>
      </c>
    </row>
    <row r="268" spans="1:4" x14ac:dyDescent="0.25">
      <c r="B268" s="3"/>
      <c r="C268" s="3"/>
      <c r="D268" s="133"/>
    </row>
    <row r="269" spans="1:4" x14ac:dyDescent="0.25">
      <c r="B269" s="4" t="s">
        <v>298</v>
      </c>
      <c r="C269" s="3"/>
      <c r="D269" s="123"/>
    </row>
    <row r="270" spans="1:4" x14ac:dyDescent="0.25">
      <c r="B270" s="2" t="s">
        <v>299</v>
      </c>
      <c r="C270" s="3"/>
      <c r="D270" s="123"/>
    </row>
    <row r="271" spans="1:4" x14ac:dyDescent="0.25">
      <c r="B271" s="3" t="s">
        <v>158</v>
      </c>
      <c r="C271" s="38" t="s">
        <v>582</v>
      </c>
      <c r="D271" s="123">
        <f>Material!D21</f>
        <v>15.278150999999998</v>
      </c>
    </row>
    <row r="272" spans="1:4" x14ac:dyDescent="0.25">
      <c r="B272" s="3" t="s">
        <v>300</v>
      </c>
      <c r="C272" s="38" t="s">
        <v>66</v>
      </c>
      <c r="D272" s="123">
        <f>D267*D276/365/D47</f>
        <v>38551.438356164384</v>
      </c>
    </row>
    <row r="273" spans="2:4" x14ac:dyDescent="0.25">
      <c r="B273" s="3" t="s">
        <v>301</v>
      </c>
      <c r="C273" s="38" t="s">
        <v>66</v>
      </c>
      <c r="D273" s="123">
        <f>2100</f>
        <v>2100</v>
      </c>
    </row>
    <row r="274" spans="2:4" x14ac:dyDescent="0.25">
      <c r="B274" s="3" t="s">
        <v>302</v>
      </c>
      <c r="C274" s="38" t="s">
        <v>66</v>
      </c>
      <c r="D274" s="123">
        <f>D272/D273</f>
        <v>18.357827788649708</v>
      </c>
    </row>
    <row r="275" spans="2:4" x14ac:dyDescent="0.25">
      <c r="B275" s="3" t="s">
        <v>303</v>
      </c>
      <c r="C275" s="38" t="s">
        <v>224</v>
      </c>
      <c r="D275" s="123">
        <f>D274*(1.2*1)*120%</f>
        <v>26.435272015655578</v>
      </c>
    </row>
    <row r="276" spans="2:4" x14ac:dyDescent="0.25">
      <c r="B276" s="27" t="s">
        <v>142</v>
      </c>
      <c r="C276" s="38" t="s">
        <v>143</v>
      </c>
      <c r="D276" s="123">
        <f>_xlfn.XLOOKUP($B276,Input!A:A,Input!C:C,0)</f>
        <v>45</v>
      </c>
    </row>
    <row r="277" spans="2:4" x14ac:dyDescent="0.25">
      <c r="B277" s="3" t="s">
        <v>304</v>
      </c>
      <c r="C277" s="38" t="s">
        <v>224</v>
      </c>
      <c r="D277" s="123">
        <f>D275</f>
        <v>26.435272015655578</v>
      </c>
    </row>
    <row r="278" spans="2:4" x14ac:dyDescent="0.25">
      <c r="B278" s="3"/>
      <c r="C278" s="38"/>
      <c r="D278" s="133"/>
    </row>
    <row r="279" spans="2:4" x14ac:dyDescent="0.25">
      <c r="B279" s="5" t="s">
        <v>305</v>
      </c>
      <c r="C279" s="38"/>
      <c r="D279" s="128"/>
    </row>
    <row r="280" spans="2:4" x14ac:dyDescent="0.25">
      <c r="B280" s="3" t="s">
        <v>160</v>
      </c>
      <c r="C280" s="29" t="str">
        <f>Input!$C$5&amp;" /1000pcs"</f>
        <v>INR /1000pcs</v>
      </c>
      <c r="D280" s="128">
        <f>Material!D104</f>
        <v>888.61475429699919</v>
      </c>
    </row>
    <row r="281" spans="2:4" x14ac:dyDescent="0.25">
      <c r="B281" s="3" t="s">
        <v>16</v>
      </c>
      <c r="C281" s="29" t="str">
        <f>Input!$C$5&amp;" /1000pcs"</f>
        <v>INR /1000pcs</v>
      </c>
      <c r="D281" s="128">
        <f>SUM(D200,D204,D252,D254,D262)</f>
        <v>343.23819163911469</v>
      </c>
    </row>
    <row r="282" spans="2:4" x14ac:dyDescent="0.25">
      <c r="B282" s="3"/>
      <c r="C282" s="38"/>
      <c r="D282" s="133"/>
    </row>
    <row r="283" spans="2:4" x14ac:dyDescent="0.25">
      <c r="B283" s="4" t="s">
        <v>306</v>
      </c>
      <c r="C283" s="38"/>
      <c r="D283" s="128"/>
    </row>
    <row r="284" spans="2:4" x14ac:dyDescent="0.25">
      <c r="B284" s="3" t="s">
        <v>307</v>
      </c>
      <c r="C284" s="38" t="s">
        <v>308</v>
      </c>
      <c r="D284" s="123" t="s">
        <v>309</v>
      </c>
    </row>
    <row r="285" spans="2:4" x14ac:dyDescent="0.25">
      <c r="B285" s="3" t="s">
        <v>310</v>
      </c>
      <c r="C285" s="38" t="s">
        <v>66</v>
      </c>
      <c r="D285" s="128">
        <v>36</v>
      </c>
    </row>
    <row r="286" spans="2:4" x14ac:dyDescent="0.25">
      <c r="B286" s="3" t="s">
        <v>311</v>
      </c>
      <c r="C286" s="38" t="s">
        <v>66</v>
      </c>
      <c r="D286" s="128">
        <v>10</v>
      </c>
    </row>
    <row r="287" spans="2:4" x14ac:dyDescent="0.25">
      <c r="B287" s="3" t="s">
        <v>312</v>
      </c>
      <c r="C287" s="38" t="s">
        <v>66</v>
      </c>
      <c r="D287" s="123">
        <f>D285*D286</f>
        <v>360</v>
      </c>
    </row>
    <row r="288" spans="2:4" x14ac:dyDescent="0.25">
      <c r="B288" s="3" t="s">
        <v>313</v>
      </c>
      <c r="C288" s="38" t="s">
        <v>224</v>
      </c>
      <c r="D288" s="123">
        <f>2.5*1+4</f>
        <v>6.5</v>
      </c>
    </row>
    <row r="289" spans="2:10" x14ac:dyDescent="0.25">
      <c r="B289" s="3" t="s">
        <v>314</v>
      </c>
      <c r="C289" s="38" t="s">
        <v>66</v>
      </c>
      <c r="D289" s="123">
        <f>_xlfn.XLOOKUP($B289,Input!A:A,Input!C:C,0)</f>
        <v>1500</v>
      </c>
    </row>
    <row r="290" spans="2:10" x14ac:dyDescent="0.25">
      <c r="B290" s="3" t="s">
        <v>315</v>
      </c>
      <c r="C290" s="38" t="s">
        <v>66</v>
      </c>
      <c r="D290" s="123">
        <f>D287*D289</f>
        <v>540000</v>
      </c>
    </row>
    <row r="291" spans="2:10" x14ac:dyDescent="0.25">
      <c r="B291" s="3" t="s">
        <v>144</v>
      </c>
      <c r="C291" s="38" t="s">
        <v>143</v>
      </c>
      <c r="D291" s="123">
        <f>_xlfn.XLOOKUP($B291,Input!A:A,Input!C:C,0)</f>
        <v>7</v>
      </c>
    </row>
    <row r="292" spans="2:10" x14ac:dyDescent="0.25">
      <c r="B292" s="3" t="s">
        <v>316</v>
      </c>
      <c r="C292" s="38" t="s">
        <v>66</v>
      </c>
      <c r="D292" s="123">
        <f>D267*D291/365</f>
        <v>59968.904109589042</v>
      </c>
    </row>
    <row r="293" spans="2:10" x14ac:dyDescent="0.25">
      <c r="B293" s="3" t="s">
        <v>317</v>
      </c>
      <c r="C293" s="38" t="s">
        <v>224</v>
      </c>
      <c r="D293" s="123">
        <f>D292/D290*D288</f>
        <v>0.72184791983764585</v>
      </c>
    </row>
    <row r="294" spans="2:10" x14ac:dyDescent="0.25">
      <c r="B294" s="3"/>
      <c r="C294" s="38"/>
      <c r="D294" s="133"/>
    </row>
    <row r="295" spans="2:10" x14ac:dyDescent="0.25">
      <c r="B295" s="3" t="s">
        <v>318</v>
      </c>
      <c r="C295" s="38"/>
      <c r="D295" s="47">
        <f>D277+D293</f>
        <v>27.157119935493224</v>
      </c>
    </row>
    <row r="296" spans="2:10" x14ac:dyDescent="0.25">
      <c r="B296" s="3"/>
      <c r="C296" s="38"/>
      <c r="D296" s="133"/>
    </row>
    <row r="297" spans="2:10" x14ac:dyDescent="0.25">
      <c r="B297" s="3"/>
      <c r="C297" s="3"/>
      <c r="D297" s="133"/>
    </row>
    <row r="299" spans="2:10" x14ac:dyDescent="0.25">
      <c r="B299" s="10" t="s">
        <v>319</v>
      </c>
    </row>
    <row r="300" spans="2:10" x14ac:dyDescent="0.25">
      <c r="B300" s="11" t="s">
        <v>1</v>
      </c>
      <c r="C300" s="11" t="s">
        <v>34</v>
      </c>
      <c r="D300" s="132" t="s">
        <v>89</v>
      </c>
      <c r="E300" s="11" t="s">
        <v>320</v>
      </c>
      <c r="F300" s="11" t="s">
        <v>36</v>
      </c>
      <c r="G300" s="11" t="s">
        <v>270</v>
      </c>
      <c r="H300" s="11" t="s">
        <v>321</v>
      </c>
      <c r="I300" s="28" t="s">
        <v>322</v>
      </c>
      <c r="J300" s="11" t="s">
        <v>323</v>
      </c>
    </row>
    <row r="301" spans="2:10" x14ac:dyDescent="0.25">
      <c r="B301" s="6" t="s">
        <v>324</v>
      </c>
      <c r="C301" s="203">
        <f>$D$86/$C$5</f>
        <v>5.9750499789562291E-3</v>
      </c>
      <c r="D301" s="204">
        <f>$D$110/$C$5</f>
        <v>0</v>
      </c>
      <c r="E301" s="203">
        <f>($D$125+$D$159)/$C$5</f>
        <v>0</v>
      </c>
      <c r="F301" s="203">
        <f>$D$145/$C$5</f>
        <v>0</v>
      </c>
      <c r="G301" s="203">
        <f>$D$173/$C$5</f>
        <v>7.5667087542087537E-3</v>
      </c>
      <c r="H301" s="203">
        <f>$D$193/$C$5</f>
        <v>1.0425807554713805E-2</v>
      </c>
      <c r="I301" s="203"/>
      <c r="J301" s="6"/>
    </row>
    <row r="302" spans="2:10" x14ac:dyDescent="0.25">
      <c r="B302" s="6" t="s">
        <v>105</v>
      </c>
      <c r="C302" s="6"/>
      <c r="D302" s="132"/>
      <c r="E302" s="6"/>
      <c r="F302" s="6"/>
      <c r="G302" s="6"/>
      <c r="H302" s="6"/>
      <c r="I302" s="6">
        <f>_xlfn.XLOOKUP($B302,Input!A:A,Input!C:C,0)</f>
        <v>3</v>
      </c>
      <c r="J302" s="6"/>
    </row>
    <row r="303" spans="2:10" x14ac:dyDescent="0.25">
      <c r="B303" s="2" t="s">
        <v>325</v>
      </c>
      <c r="C303" s="3"/>
      <c r="D303" s="133"/>
      <c r="E303" s="3"/>
      <c r="F303" s="3"/>
      <c r="G303" s="3"/>
      <c r="H303" s="3"/>
      <c r="I303" s="36"/>
      <c r="J303" s="3"/>
    </row>
    <row r="304" spans="2:10" x14ac:dyDescent="0.25">
      <c r="B304" s="3" t="s">
        <v>102</v>
      </c>
      <c r="C304" s="40">
        <v>3</v>
      </c>
      <c r="D304" s="128">
        <v>1</v>
      </c>
      <c r="E304" s="40">
        <v>1</v>
      </c>
      <c r="F304" s="40">
        <v>1</v>
      </c>
      <c r="G304" s="40">
        <v>1</v>
      </c>
      <c r="H304" s="40">
        <v>1</v>
      </c>
      <c r="I304" s="9">
        <f>_xlfn.XLOOKUP($B304,Input!A:A,Input!C:C,0)</f>
        <v>541800</v>
      </c>
      <c r="J304" s="39">
        <f>SUMPRODUCT($C$301:$H$301,$C304:$H304)*$I$302*$I304</f>
        <v>58380.574715909097</v>
      </c>
    </row>
    <row r="305" spans="1:13" x14ac:dyDescent="0.25">
      <c r="B305" s="3" t="s">
        <v>326</v>
      </c>
      <c r="C305" s="40">
        <v>2</v>
      </c>
      <c r="D305" s="128">
        <v>1</v>
      </c>
      <c r="E305" s="40">
        <v>1</v>
      </c>
      <c r="F305" s="40">
        <v>1</v>
      </c>
      <c r="G305" s="40">
        <v>1</v>
      </c>
      <c r="H305" s="40">
        <v>1</v>
      </c>
      <c r="I305" s="9">
        <f>_xlfn.XLOOKUP($B304,Input!A:A,Input!C:C,0)*70%</f>
        <v>379260</v>
      </c>
      <c r="J305" s="39">
        <f>SUMPRODUCT($C$301:$H$301,$C305:$H305)*$I$302*$I305</f>
        <v>34068.109936079549</v>
      </c>
    </row>
    <row r="306" spans="1:13" x14ac:dyDescent="0.25">
      <c r="B306" s="3" t="s">
        <v>103</v>
      </c>
      <c r="C306" s="40">
        <f t="shared" ref="C306:H306" si="1">1/8</f>
        <v>0.125</v>
      </c>
      <c r="D306" s="128">
        <f t="shared" si="1"/>
        <v>0.125</v>
      </c>
      <c r="E306" s="40">
        <f t="shared" si="1"/>
        <v>0.125</v>
      </c>
      <c r="F306" s="40">
        <f t="shared" si="1"/>
        <v>0.125</v>
      </c>
      <c r="G306" s="40">
        <f t="shared" si="1"/>
        <v>0.125</v>
      </c>
      <c r="H306" s="40">
        <f t="shared" si="1"/>
        <v>0.125</v>
      </c>
      <c r="I306" s="9">
        <f>_xlfn.XLOOKUP($B306,Input!A:A,Input!C:C,0)</f>
        <v>1260000</v>
      </c>
      <c r="J306" s="39">
        <f>SUMPRODUCT($C$301:$H$301,$C306:$H306)*$I$302*$I306</f>
        <v>11324.675071022726</v>
      </c>
    </row>
    <row r="307" spans="1:13" x14ac:dyDescent="0.25">
      <c r="B307" s="3" t="s">
        <v>104</v>
      </c>
      <c r="C307" s="40">
        <v>2</v>
      </c>
      <c r="D307" s="128"/>
      <c r="E307" s="40"/>
      <c r="F307" s="40"/>
      <c r="G307" s="40"/>
      <c r="H307" s="40"/>
      <c r="I307" s="9">
        <f>_xlfn.XLOOKUP($B307,Input!A:A,Input!C:C,0)</f>
        <v>1890000</v>
      </c>
      <c r="J307" s="39">
        <f>SUMPRODUCT($C$301:$H$301,$C307:$H307)*$I$302*$I307</f>
        <v>67757.066761363647</v>
      </c>
      <c r="M307" s="33"/>
    </row>
    <row r="308" spans="1:13" x14ac:dyDescent="0.25">
      <c r="B308" s="3" t="s">
        <v>327</v>
      </c>
      <c r="C308" s="40"/>
      <c r="D308" s="128"/>
      <c r="E308" s="40"/>
      <c r="F308" s="40"/>
      <c r="G308" s="40"/>
      <c r="H308" s="40"/>
      <c r="I308" s="9"/>
      <c r="J308" s="39">
        <f>SUM(J304:J307)</f>
        <v>171530.42648437503</v>
      </c>
      <c r="M308" s="33"/>
    </row>
    <row r="309" spans="1:13" x14ac:dyDescent="0.25">
      <c r="B309" s="3"/>
      <c r="C309" s="3"/>
      <c r="D309" s="133"/>
      <c r="E309" s="3"/>
      <c r="F309" s="3"/>
      <c r="G309" s="3"/>
      <c r="H309" s="3"/>
      <c r="I309" s="3"/>
      <c r="J309" s="3"/>
    </row>
    <row r="310" spans="1:13" x14ac:dyDescent="0.25">
      <c r="B310" s="2" t="s">
        <v>328</v>
      </c>
      <c r="C310" s="3"/>
      <c r="D310" s="133"/>
      <c r="E310" s="3"/>
      <c r="F310" s="3"/>
      <c r="G310" s="3"/>
      <c r="H310" s="3"/>
      <c r="I310" s="3"/>
      <c r="J310" s="3"/>
    </row>
    <row r="311" spans="1:13" x14ac:dyDescent="0.25">
      <c r="A311" s="1" t="s">
        <v>102</v>
      </c>
      <c r="B311" s="3" t="s">
        <v>329</v>
      </c>
      <c r="C311" s="40">
        <v>1</v>
      </c>
      <c r="D311" s="128"/>
      <c r="E311" s="40"/>
      <c r="F311" s="40"/>
      <c r="G311" s="40"/>
      <c r="H311" s="40"/>
      <c r="I311" s="40"/>
      <c r="J311" s="9">
        <f>C311*_xlfn.XLOOKUP(A311,Input!A:A,Input!C:C,0)</f>
        <v>541800</v>
      </c>
    </row>
    <row r="312" spans="1:13" x14ac:dyDescent="0.25">
      <c r="A312" s="1" t="s">
        <v>102</v>
      </c>
      <c r="B312" s="3" t="s">
        <v>330</v>
      </c>
      <c r="C312" s="40">
        <v>1</v>
      </c>
      <c r="D312" s="128"/>
      <c r="E312" s="40"/>
      <c r="F312" s="40"/>
      <c r="G312" s="40"/>
      <c r="H312" s="40"/>
      <c r="I312" s="40"/>
      <c r="J312" s="9">
        <f>C312*_xlfn.XLOOKUP(A312,Input!A:A,Input!C:C,0)</f>
        <v>541800</v>
      </c>
    </row>
    <row r="313" spans="1:13" x14ac:dyDescent="0.25">
      <c r="A313" s="1" t="s">
        <v>102</v>
      </c>
      <c r="B313" s="3" t="s">
        <v>331</v>
      </c>
      <c r="C313" s="40">
        <v>1</v>
      </c>
      <c r="D313" s="128"/>
      <c r="E313" s="40"/>
      <c r="F313" s="40"/>
      <c r="G313" s="40"/>
      <c r="H313" s="40"/>
      <c r="I313" s="40"/>
      <c r="J313" s="9">
        <f>C313*_xlfn.XLOOKUP(A313,Input!A:A,Input!C:C,0)</f>
        <v>541800</v>
      </c>
    </row>
    <row r="314" spans="1:13" x14ac:dyDescent="0.25">
      <c r="A314" s="1" t="s">
        <v>102</v>
      </c>
      <c r="B314" s="3" t="s">
        <v>332</v>
      </c>
      <c r="C314" s="40">
        <v>1</v>
      </c>
      <c r="D314" s="128"/>
      <c r="E314" s="40"/>
      <c r="F314" s="40"/>
      <c r="G314" s="40"/>
      <c r="H314" s="40"/>
      <c r="I314" s="40"/>
      <c r="J314" s="9">
        <f>C314*_xlfn.XLOOKUP(A314,Input!A:A,Input!C:C,0)</f>
        <v>541800</v>
      </c>
    </row>
    <row r="315" spans="1:13" x14ac:dyDescent="0.25">
      <c r="A315" s="1" t="s">
        <v>102</v>
      </c>
      <c r="B315" s="3" t="s">
        <v>333</v>
      </c>
      <c r="C315" s="40">
        <v>1</v>
      </c>
      <c r="D315" s="128"/>
      <c r="E315" s="40"/>
      <c r="F315" s="40"/>
      <c r="G315" s="40"/>
      <c r="H315" s="40"/>
      <c r="I315" s="40"/>
      <c r="J315" s="9">
        <f>C315*_xlfn.XLOOKUP(A315,Input!A:A,Input!C:C,0)</f>
        <v>541800</v>
      </c>
    </row>
    <row r="316" spans="1:13" x14ac:dyDescent="0.25">
      <c r="A316" s="1" t="s">
        <v>102</v>
      </c>
      <c r="B316" s="3" t="s">
        <v>334</v>
      </c>
      <c r="C316" s="40">
        <v>1</v>
      </c>
      <c r="D316" s="128"/>
      <c r="E316" s="40"/>
      <c r="F316" s="40"/>
      <c r="G316" s="40"/>
      <c r="H316" s="40"/>
      <c r="I316" s="40"/>
      <c r="J316" s="9">
        <f>C316*_xlfn.XLOOKUP(A316,Input!A:A,Input!C:C,0)</f>
        <v>541800</v>
      </c>
    </row>
    <row r="317" spans="1:13" x14ac:dyDescent="0.25">
      <c r="A317" s="1" t="s">
        <v>102</v>
      </c>
      <c r="B317" s="3" t="s">
        <v>335</v>
      </c>
      <c r="C317" s="40">
        <v>2</v>
      </c>
      <c r="D317" s="128"/>
      <c r="E317" s="40"/>
      <c r="F317" s="40"/>
      <c r="G317" s="40"/>
      <c r="H317" s="40"/>
      <c r="I317" s="40"/>
      <c r="J317" s="9">
        <f>C317*_xlfn.XLOOKUP(A317,Input!A:A,Input!C:C,0)*70%</f>
        <v>758520</v>
      </c>
      <c r="K317" t="s">
        <v>336</v>
      </c>
    </row>
    <row r="318" spans="1:13" x14ac:dyDescent="0.25">
      <c r="A318" s="1" t="s">
        <v>102</v>
      </c>
      <c r="B318" s="3" t="s">
        <v>337</v>
      </c>
      <c r="C318" s="40">
        <v>1</v>
      </c>
      <c r="D318" s="128"/>
      <c r="E318" s="40"/>
      <c r="F318" s="40"/>
      <c r="G318" s="40"/>
      <c r="H318" s="40"/>
      <c r="I318" s="40"/>
      <c r="J318" s="9">
        <f>C318*_xlfn.XLOOKUP(A318,Input!A:A,Input!C:C,0)</f>
        <v>541800</v>
      </c>
    </row>
    <row r="319" spans="1:13" x14ac:dyDescent="0.25">
      <c r="A319" s="1" t="s">
        <v>102</v>
      </c>
      <c r="B319" s="3" t="s">
        <v>338</v>
      </c>
      <c r="C319" s="40">
        <v>2</v>
      </c>
      <c r="D319" s="128"/>
      <c r="E319" s="40"/>
      <c r="F319" s="40"/>
      <c r="G319" s="40"/>
      <c r="H319" s="40"/>
      <c r="I319" s="40"/>
      <c r="J319" s="9">
        <f>C319*_xlfn.XLOOKUP(A319,Input!A:A,Input!C:C,0)*70%</f>
        <v>758520</v>
      </c>
      <c r="K319" t="s">
        <v>339</v>
      </c>
    </row>
    <row r="320" spans="1:13" x14ac:dyDescent="0.25">
      <c r="A320" s="1" t="s">
        <v>102</v>
      </c>
      <c r="B320" s="3" t="s">
        <v>340</v>
      </c>
      <c r="C320" s="40">
        <f>3*$I$302</f>
        <v>9</v>
      </c>
      <c r="D320" s="128"/>
      <c r="E320" s="40"/>
      <c r="F320" s="40"/>
      <c r="G320" s="40"/>
      <c r="H320" s="40"/>
      <c r="I320" s="40"/>
      <c r="J320" s="9">
        <f>C320*_xlfn.XLOOKUP(A320,Input!A:A,Input!C:C,0)*70%</f>
        <v>3413340</v>
      </c>
      <c r="K320" t="s">
        <v>341</v>
      </c>
    </row>
    <row r="321" spans="1:11" x14ac:dyDescent="0.25">
      <c r="A321" s="1" t="s">
        <v>102</v>
      </c>
      <c r="B321" s="3" t="s">
        <v>342</v>
      </c>
      <c r="C321" s="40">
        <f>3*$I$302</f>
        <v>9</v>
      </c>
      <c r="D321" s="128"/>
      <c r="E321" s="40"/>
      <c r="F321" s="40"/>
      <c r="G321" s="40"/>
      <c r="H321" s="40"/>
      <c r="I321" s="40"/>
      <c r="J321" s="9">
        <f>C321*_xlfn.XLOOKUP(A321,Input!A:A,Input!C:C,0)*70%</f>
        <v>3413340</v>
      </c>
      <c r="K321" t="s">
        <v>341</v>
      </c>
    </row>
    <row r="322" spans="1:11" x14ac:dyDescent="0.25">
      <c r="A322" s="1" t="s">
        <v>102</v>
      </c>
      <c r="B322" s="3" t="s">
        <v>343</v>
      </c>
      <c r="C322" s="40">
        <f>3*$I$302</f>
        <v>9</v>
      </c>
      <c r="D322" s="128"/>
      <c r="E322" s="40"/>
      <c r="F322" s="40"/>
      <c r="G322" s="40"/>
      <c r="H322" s="40"/>
      <c r="I322" s="40"/>
      <c r="J322" s="9">
        <f>C322*_xlfn.XLOOKUP(A322,Input!A:A,Input!C:C,0)*70%</f>
        <v>3413340</v>
      </c>
      <c r="K322" t="s">
        <v>341</v>
      </c>
    </row>
    <row r="323" spans="1:11" x14ac:dyDescent="0.25">
      <c r="A323" s="1" t="s">
        <v>104</v>
      </c>
      <c r="B323" s="3" t="s">
        <v>344</v>
      </c>
      <c r="C323" s="40">
        <v>1</v>
      </c>
      <c r="D323" s="128"/>
      <c r="E323" s="40"/>
      <c r="F323" s="40"/>
      <c r="G323" s="40"/>
      <c r="H323" s="40"/>
      <c r="I323" s="40"/>
      <c r="J323" s="9">
        <f>C323*_xlfn.XLOOKUP(A323,Input!A:A,Input!C:C,0)</f>
        <v>1890000</v>
      </c>
    </row>
    <row r="324" spans="1:11" x14ac:dyDescent="0.25">
      <c r="B324" s="3" t="s">
        <v>345</v>
      </c>
      <c r="C324" s="40"/>
      <c r="D324" s="128"/>
      <c r="E324" s="40"/>
      <c r="F324" s="40"/>
      <c r="G324" s="40"/>
      <c r="H324" s="40"/>
      <c r="I324" s="40"/>
      <c r="J324" s="9">
        <f>SUM(J311:J323)</f>
        <v>17439660</v>
      </c>
    </row>
    <row r="325" spans="1:11" x14ac:dyDescent="0.25">
      <c r="B325" s="3" t="s">
        <v>346</v>
      </c>
      <c r="C325" s="40"/>
      <c r="D325" s="128"/>
      <c r="E325" s="40"/>
      <c r="F325" s="40"/>
      <c r="G325" s="40"/>
      <c r="H325" s="40"/>
      <c r="I325" s="40"/>
      <c r="J325" s="9">
        <f>J324*Backup!C16/Backup!C138</f>
        <v>183087.26316841453</v>
      </c>
    </row>
    <row r="329" spans="1:11" x14ac:dyDescent="0.25">
      <c r="B329" s="10" t="s">
        <v>347</v>
      </c>
    </row>
    <row r="330" spans="1:11" x14ac:dyDescent="0.25">
      <c r="B330" s="11" t="s">
        <v>1</v>
      </c>
      <c r="C330" s="11" t="s">
        <v>146</v>
      </c>
      <c r="D330" s="132" t="s">
        <v>323</v>
      </c>
    </row>
    <row r="331" spans="1:11" x14ac:dyDescent="0.25">
      <c r="B331" s="3" t="s">
        <v>118</v>
      </c>
      <c r="C331" s="3"/>
      <c r="D331" s="128" t="str">
        <f>_xlfn.XLOOKUP($B$331,Input!A:A,Input!C:C,0)</f>
        <v>Owned</v>
      </c>
    </row>
    <row r="332" spans="1:11" x14ac:dyDescent="0.25">
      <c r="B332" s="3" t="s">
        <v>348</v>
      </c>
      <c r="C332" s="3" t="s">
        <v>224</v>
      </c>
      <c r="D332" s="128">
        <f>Backup!$C$16</f>
        <v>52.49163778663533</v>
      </c>
    </row>
    <row r="333" spans="1:11" x14ac:dyDescent="0.25">
      <c r="B333" s="3" t="s">
        <v>349</v>
      </c>
      <c r="C333" s="3" t="s">
        <v>224</v>
      </c>
      <c r="D333" s="128">
        <f>Backup!C14</f>
        <v>36.744146450644728</v>
      </c>
    </row>
    <row r="334" spans="1:11" x14ac:dyDescent="0.25">
      <c r="B334" s="3" t="s">
        <v>114</v>
      </c>
      <c r="C334" s="3" t="str">
        <f>Input!$C$5</f>
        <v>INR</v>
      </c>
      <c r="D334" s="123">
        <f>IF($D331="Owned",_xlfn.XLOOKUP($B334,Input!A:A,Input!C:C,0)*Conversion!D332,IF(Conversion!$D$331="Leased",0))</f>
        <v>778638.90843907814</v>
      </c>
      <c r="F334" s="37"/>
    </row>
    <row r="335" spans="1:11" x14ac:dyDescent="0.25">
      <c r="B335" s="3" t="s">
        <v>116</v>
      </c>
      <c r="C335" s="3" t="str">
        <f>Input!$C$5</f>
        <v>INR</v>
      </c>
      <c r="D335" s="123">
        <f>IF($D331="Owned",_xlfn.XLOOKUP($B335,Input!A:A,Input!C:C,0)*Conversion!D333,IF(Conversion!$D$331="Leased",0))</f>
        <v>1347817.9150195315</v>
      </c>
      <c r="F335" s="37"/>
    </row>
    <row r="336" spans="1:11" x14ac:dyDescent="0.25">
      <c r="B336" s="3" t="s">
        <v>117</v>
      </c>
      <c r="C336" s="3" t="str">
        <f>Input!$C$5</f>
        <v>INR</v>
      </c>
      <c r="D336" s="123">
        <f>IF($D331="Leased",_xlfn.XLOOKUP($B336,Input!A:A,Input!C:C,0)*Conversion!D332,IF(Conversion!$D$331="Owned",0))</f>
        <v>0</v>
      </c>
    </row>
    <row r="337" spans="2:5" x14ac:dyDescent="0.25">
      <c r="B337" s="3" t="s">
        <v>350</v>
      </c>
      <c r="C337" s="3" t="str">
        <f>Input!$C$5</f>
        <v>INR</v>
      </c>
      <c r="D337" s="128">
        <f>Backup!$E$79*Backup!C16/Backup!$C$138</f>
        <v>19285.444787950473</v>
      </c>
    </row>
    <row r="338" spans="2:5" x14ac:dyDescent="0.25">
      <c r="B338" s="3" t="s">
        <v>9</v>
      </c>
      <c r="C338" s="3" t="str">
        <f>Input!$C$5</f>
        <v>INR</v>
      </c>
      <c r="D338" s="128">
        <f>SUM(D334:D337)</f>
        <v>2145742.2682465599</v>
      </c>
    </row>
    <row r="339" spans="2:5" x14ac:dyDescent="0.25">
      <c r="B339" s="3"/>
      <c r="C339" s="3"/>
      <c r="D339" s="133"/>
    </row>
    <row r="340" spans="2:5" x14ac:dyDescent="0.25">
      <c r="B340" s="3" t="s">
        <v>351</v>
      </c>
      <c r="C340" s="3" t="str">
        <f>Input!$C$5</f>
        <v>INR</v>
      </c>
      <c r="D340" s="128">
        <f>VLOOKUP($D$198,Dep_Sch_Others,COLUMNS(A507:D507),0)</f>
        <v>84008.81673420989</v>
      </c>
      <c r="E340" s="46">
        <f>(D340/$D$61)*1000</f>
        <v>26.866056935419465</v>
      </c>
    </row>
    <row r="341" spans="2:5" x14ac:dyDescent="0.25">
      <c r="B341" s="3" t="s">
        <v>586</v>
      </c>
      <c r="C341" s="3" t="str">
        <f>Input!$C$5</f>
        <v>INR</v>
      </c>
      <c r="D341" s="128">
        <f>VLOOKUP($D$198,Int_Sch_other,COLUMNS(A547:D547),0)</f>
        <v>123360.97859294619</v>
      </c>
      <c r="E341" s="46">
        <f>(D341/$D$61)*1000</f>
        <v>39.450895790769337</v>
      </c>
    </row>
    <row r="342" spans="2:5" x14ac:dyDescent="0.25">
      <c r="B342" s="3" t="s">
        <v>117</v>
      </c>
      <c r="C342" s="3" t="str">
        <f>Input!$C$5</f>
        <v>INR</v>
      </c>
      <c r="D342" s="128">
        <f>D336</f>
        <v>0</v>
      </c>
      <c r="E342" s="46">
        <f>(D342/$D$61)*1000</f>
        <v>0</v>
      </c>
    </row>
    <row r="343" spans="2:5" x14ac:dyDescent="0.25">
      <c r="B343" s="3" t="s">
        <v>352</v>
      </c>
      <c r="C343" s="3" t="str">
        <f>Input!$C$5</f>
        <v>INR</v>
      </c>
      <c r="D343" s="128">
        <f>J325</f>
        <v>183087.26316841453</v>
      </c>
      <c r="E343" s="46">
        <f>(D343/$D$61)*1000</f>
        <v>58.551388147688492</v>
      </c>
    </row>
    <row r="344" spans="2:5" x14ac:dyDescent="0.25">
      <c r="B344" s="3" t="s">
        <v>21</v>
      </c>
      <c r="C344" s="3" t="str">
        <f>Input!$C$5</f>
        <v>INR</v>
      </c>
      <c r="D344" s="128">
        <f>SUM(D335:D337)*_xlfn.XLOOKUP(B344,Input!A:A,Input!C:C,0)</f>
        <v>27342.067196149641</v>
      </c>
    </row>
    <row r="345" spans="2:5" x14ac:dyDescent="0.25">
      <c r="B345" s="3" t="s">
        <v>353</v>
      </c>
      <c r="C345" s="3" t="str">
        <f>Input!$C$5</f>
        <v>INR</v>
      </c>
      <c r="D345" s="128">
        <f>SUM(D340:D344)</f>
        <v>417799.12569172028</v>
      </c>
    </row>
    <row r="346" spans="2:5" x14ac:dyDescent="0.25">
      <c r="B346" s="3" t="s">
        <v>354</v>
      </c>
      <c r="C346" s="4" t="str">
        <f>Input!$C$5&amp;" /1000pcs"</f>
        <v>INR /1000pcs</v>
      </c>
      <c r="D346" s="128">
        <f>D345*1000/D267</f>
        <v>133.61234611737325</v>
      </c>
    </row>
    <row r="347" spans="2:5" x14ac:dyDescent="0.25">
      <c r="B347" s="3"/>
      <c r="C347" s="3"/>
      <c r="D347" s="128"/>
    </row>
    <row r="349" spans="2:5" x14ac:dyDescent="0.25">
      <c r="B349" s="11" t="s">
        <v>1</v>
      </c>
      <c r="C349" s="11" t="s">
        <v>146</v>
      </c>
      <c r="D349" s="139" t="s">
        <v>323</v>
      </c>
    </row>
    <row r="350" spans="2:5" x14ac:dyDescent="0.25">
      <c r="B350" s="5" t="s">
        <v>355</v>
      </c>
      <c r="C350" s="3"/>
      <c r="D350" s="123"/>
    </row>
    <row r="351" spans="2:5" x14ac:dyDescent="0.25">
      <c r="B351" s="3" t="s">
        <v>125</v>
      </c>
      <c r="C351" s="3" t="s">
        <v>66</v>
      </c>
      <c r="D351" s="123">
        <f>_xlfn.XLOOKUP($B351,Input!A:A,Input!C:C,0)</f>
        <v>1500</v>
      </c>
    </row>
    <row r="352" spans="2:5" x14ac:dyDescent="0.25">
      <c r="B352" s="3" t="s">
        <v>126</v>
      </c>
      <c r="C352" s="3" t="s">
        <v>66</v>
      </c>
      <c r="D352" s="123">
        <f>_xlfn.XLOOKUP($B352,Input!A:A,Input!C:C,0)</f>
        <v>0</v>
      </c>
    </row>
    <row r="353" spans="2:4" x14ac:dyDescent="0.25">
      <c r="B353" s="3" t="s">
        <v>356</v>
      </c>
      <c r="C353" s="3" t="str">
        <f>Input!$C$5&amp;" "&amp;Backup!C152</f>
        <v>INR per piece</v>
      </c>
      <c r="D353" s="123">
        <f>_xlfn.XLOOKUP(B353,Backup!B:B,Backup!F:F)</f>
        <v>62.561999999999998</v>
      </c>
    </row>
    <row r="354" spans="2:4" x14ac:dyDescent="0.25">
      <c r="B354" s="3" t="s">
        <v>357</v>
      </c>
      <c r="C354" s="3" t="str">
        <f>Input!$C$5&amp;" "&amp;Backup!C153</f>
        <v>INR per piece</v>
      </c>
      <c r="D354" s="123">
        <f>_xlfn.XLOOKUP(B354,Backup!B:B,Backup!F:F)</f>
        <v>26.067499999999999</v>
      </c>
    </row>
    <row r="355" spans="2:4" x14ac:dyDescent="0.25">
      <c r="B355" s="3" t="s">
        <v>358</v>
      </c>
      <c r="C355" s="3" t="str">
        <f>Input!$C$5&amp;" "&amp;Backup!C154</f>
        <v>INR per piece</v>
      </c>
      <c r="D355" s="123">
        <f>IF(D352=0,0,_xlfn.XLOOKUP($B355,Backup!B:B,Backup!F:F,0)/D352)</f>
        <v>0</v>
      </c>
    </row>
    <row r="356" spans="2:4" x14ac:dyDescent="0.25">
      <c r="B356" s="4" t="s">
        <v>359</v>
      </c>
      <c r="C356" s="4" t="str">
        <f>C346</f>
        <v>INR /1000pcs</v>
      </c>
      <c r="D356" s="123">
        <f>(SUM(D353:D355)*1000/D351)</f>
        <v>59.086333333333336</v>
      </c>
    </row>
    <row r="357" spans="2:4" x14ac:dyDescent="0.25">
      <c r="B357" s="3"/>
      <c r="C357" s="3"/>
      <c r="D357" s="137"/>
    </row>
    <row r="358" spans="2:4" x14ac:dyDescent="0.25">
      <c r="B358" s="5" t="s">
        <v>360</v>
      </c>
      <c r="C358" s="3"/>
      <c r="D358" s="137"/>
    </row>
    <row r="359" spans="2:4" x14ac:dyDescent="0.25">
      <c r="B359" s="3" t="s">
        <v>125</v>
      </c>
      <c r="C359" s="3" t="s">
        <v>66</v>
      </c>
      <c r="D359" s="123">
        <f>_xlfn.XLOOKUP($B359,Input!A:A,Input!C:C,0)</f>
        <v>1500</v>
      </c>
    </row>
    <row r="360" spans="2:4" x14ac:dyDescent="0.25">
      <c r="B360" s="3" t="s">
        <v>127</v>
      </c>
      <c r="C360" s="3" t="s">
        <v>66</v>
      </c>
      <c r="D360" s="123">
        <f>_xlfn.XLOOKUP($B360,Input!A:A,Input!C:C,0)</f>
        <v>173.71944444444443</v>
      </c>
    </row>
    <row r="361" spans="2:4" x14ac:dyDescent="0.25">
      <c r="B361" s="3" t="s">
        <v>361</v>
      </c>
      <c r="C361" s="3" t="s">
        <v>66</v>
      </c>
      <c r="D361" s="123">
        <f>D359*D360</f>
        <v>260579.16666666666</v>
      </c>
    </row>
    <row r="362" spans="2:4" x14ac:dyDescent="0.25">
      <c r="B362" s="3" t="s">
        <v>362</v>
      </c>
      <c r="C362" s="3" t="str">
        <f>Input!B109</f>
        <v>INR/ Container</v>
      </c>
      <c r="D362" s="123">
        <f>_xlfn.XLOOKUP($B362,Input!A:A,Input!C:C,0)</f>
        <v>20010</v>
      </c>
    </row>
    <row r="363" spans="2:4" x14ac:dyDescent="0.25">
      <c r="B363" s="4" t="s">
        <v>363</v>
      </c>
      <c r="C363" s="4" t="str">
        <f>C356</f>
        <v>INR /1000pcs</v>
      </c>
      <c r="D363" s="123">
        <f>D362*1000/D361</f>
        <v>76.790482738771004</v>
      </c>
    </row>
    <row r="364" spans="2:4" x14ac:dyDescent="0.25">
      <c r="B364" s="12"/>
      <c r="C364" s="12"/>
      <c r="D364" s="140"/>
    </row>
    <row r="365" spans="2:4" x14ac:dyDescent="0.25">
      <c r="B365" s="10" t="s">
        <v>122</v>
      </c>
    </row>
    <row r="366" spans="2:4" x14ac:dyDescent="0.25">
      <c r="B366" s="3" t="s">
        <v>160</v>
      </c>
      <c r="C366" s="3" t="str">
        <f>Input!$C$5 &amp; " /1000 Pcs"</f>
        <v>INR /1000 Pcs</v>
      </c>
      <c r="D366" s="123">
        <f>Summary!B5</f>
        <v>888.61475429699908</v>
      </c>
    </row>
    <row r="367" spans="2:4" x14ac:dyDescent="0.25">
      <c r="B367" s="3" t="s">
        <v>16</v>
      </c>
      <c r="C367" s="3" t="str">
        <f>Input!$C$5 &amp; " /1000 Pcs"</f>
        <v>INR /1000 Pcs</v>
      </c>
      <c r="D367" s="123">
        <f>D200+D204+D211+D252+D254+D262</f>
        <v>348.14322938339069</v>
      </c>
    </row>
    <row r="368" spans="2:4" x14ac:dyDescent="0.25">
      <c r="B368" s="3" t="str">
        <f>Input!A116</f>
        <v>RM</v>
      </c>
      <c r="C368" s="3" t="s">
        <v>139</v>
      </c>
      <c r="D368" s="123">
        <f>_xlfn.XLOOKUP($B368,Input!A:A,Input!C:C,0)</f>
        <v>45</v>
      </c>
    </row>
    <row r="369" spans="2:10" x14ac:dyDescent="0.25">
      <c r="B369" s="3" t="str">
        <f>Input!A117</f>
        <v>FG</v>
      </c>
      <c r="C369" s="3" t="s">
        <v>139</v>
      </c>
      <c r="D369" s="123">
        <f>_xlfn.XLOOKUP($B369,Input!A:A,Input!C:C,0)</f>
        <v>60</v>
      </c>
    </row>
    <row r="370" spans="2:10" x14ac:dyDescent="0.25">
      <c r="B370" s="3" t="s">
        <v>364</v>
      </c>
      <c r="C370" s="3" t="s">
        <v>139</v>
      </c>
      <c r="D370" s="123">
        <f>D369-D368</f>
        <v>15</v>
      </c>
    </row>
    <row r="371" spans="2:10" x14ac:dyDescent="0.25">
      <c r="B371" s="3" t="str">
        <f>Input!A97</f>
        <v>Interest on Working Capital</v>
      </c>
      <c r="C371" s="3" t="s">
        <v>109</v>
      </c>
      <c r="D371" s="215">
        <f>_xlfn.XLOOKUP($B371,Input!A:A,Input!C:C,0)</f>
        <v>0.14000000000000001</v>
      </c>
    </row>
    <row r="372" spans="2:10" x14ac:dyDescent="0.25">
      <c r="B372" s="3" t="str">
        <f>B371</f>
        <v>Interest on Working Capital</v>
      </c>
      <c r="C372" s="3" t="str">
        <f>Input!$C$5 &amp; " /1000 Pcs"</f>
        <v>INR /1000 Pcs</v>
      </c>
      <c r="D372" s="123">
        <f>SUM(D366:D367)*D371*D370/365</f>
        <v>7.1155938787090918</v>
      </c>
    </row>
    <row r="373" spans="2:10" x14ac:dyDescent="0.25">
      <c r="B373" s="12"/>
      <c r="C373" s="12"/>
      <c r="D373" s="140"/>
    </row>
    <row r="374" spans="2:10" x14ac:dyDescent="0.25">
      <c r="D374" s="131">
        <f>D6</f>
        <v>1</v>
      </c>
    </row>
    <row r="375" spans="2:10" x14ac:dyDescent="0.25">
      <c r="B375" s="11" t="s">
        <v>365</v>
      </c>
      <c r="C375" s="11" t="s">
        <v>9</v>
      </c>
      <c r="D375" s="132" t="s">
        <v>34</v>
      </c>
      <c r="E375" s="28" t="s">
        <v>89</v>
      </c>
      <c r="F375" s="11" t="s">
        <v>320</v>
      </c>
      <c r="G375" s="11" t="s">
        <v>36</v>
      </c>
      <c r="H375" s="11" t="s">
        <v>270</v>
      </c>
      <c r="I375" s="11" t="s">
        <v>366</v>
      </c>
      <c r="J375" s="11" t="s">
        <v>367</v>
      </c>
    </row>
    <row r="376" spans="2:10" x14ac:dyDescent="0.25">
      <c r="B376" s="48" t="s">
        <v>368</v>
      </c>
      <c r="C376" s="20">
        <f>SUM(D376:I376)</f>
        <v>1702960.6465435605</v>
      </c>
      <c r="D376" s="129">
        <f>D399</f>
        <v>498414.76904461277</v>
      </c>
      <c r="E376" s="20">
        <f>D400</f>
        <v>0</v>
      </c>
      <c r="F376" s="20">
        <f>D401+D403</f>
        <v>0</v>
      </c>
      <c r="G376" s="20">
        <f>D402</f>
        <v>0</v>
      </c>
      <c r="H376" s="20">
        <f>D404</f>
        <v>552286.50526094274</v>
      </c>
      <c r="I376" s="20">
        <f>D405</f>
        <v>652259.37223800505</v>
      </c>
      <c r="J376" s="20"/>
    </row>
    <row r="377" spans="2:10" x14ac:dyDescent="0.25">
      <c r="B377" s="49" t="s">
        <v>369</v>
      </c>
      <c r="C377" s="51" t="s">
        <v>109</v>
      </c>
      <c r="D377" s="141">
        <f>D376/$C376</f>
        <v>0.29267544734884376</v>
      </c>
      <c r="E377" s="122">
        <f>E376/$C376</f>
        <v>0</v>
      </c>
      <c r="F377" s="122">
        <f>F376/$C376</f>
        <v>0</v>
      </c>
      <c r="G377" s="122">
        <f>G376/$C376</f>
        <v>0</v>
      </c>
      <c r="H377" s="122">
        <f t="shared" ref="H377:I377" si="2">H376/$C376</f>
        <v>0.32430961125372992</v>
      </c>
      <c r="I377" s="122">
        <f t="shared" si="2"/>
        <v>0.38301494139742631</v>
      </c>
      <c r="J377" s="51"/>
    </row>
    <row r="378" spans="2:10" x14ac:dyDescent="0.25">
      <c r="B378" s="49" t="s">
        <v>370</v>
      </c>
      <c r="C378" s="53">
        <f>SUM(D378:I378)</f>
        <v>0.20656868489583335</v>
      </c>
      <c r="D378" s="141">
        <f t="shared" ref="D378:I378" si="3">SUM(C304:C306)*C301*$I$302</f>
        <v>9.1866393426452017E-2</v>
      </c>
      <c r="E378" s="54">
        <f t="shared" si="3"/>
        <v>0</v>
      </c>
      <c r="F378" s="54">
        <f t="shared" si="3"/>
        <v>0</v>
      </c>
      <c r="G378" s="54">
        <f t="shared" si="3"/>
        <v>0</v>
      </c>
      <c r="H378" s="54">
        <f t="shared" si="3"/>
        <v>4.8237768308080797E-2</v>
      </c>
      <c r="I378" s="54">
        <f t="shared" si="3"/>
        <v>6.6464523161300512E-2</v>
      </c>
      <c r="J378" s="51"/>
    </row>
    <row r="379" spans="2:10" x14ac:dyDescent="0.25">
      <c r="B379" s="49" t="s">
        <v>371</v>
      </c>
      <c r="C379" s="51" t="s">
        <v>109</v>
      </c>
      <c r="D379" s="141">
        <f>D378/$C378</f>
        <v>0.44472565371066575</v>
      </c>
      <c r="E379" s="52">
        <f t="shared" ref="E379" si="4">E378/$C378</f>
        <v>0</v>
      </c>
      <c r="F379" s="52">
        <f t="shared" ref="F379" si="5">F378/$C378</f>
        <v>0</v>
      </c>
      <c r="G379" s="52">
        <f t="shared" ref="G379" si="6">G378/$C378</f>
        <v>0</v>
      </c>
      <c r="H379" s="52">
        <f t="shared" ref="H379" si="7">H378/$C378</f>
        <v>0.23351926906251891</v>
      </c>
      <c r="I379" s="52">
        <f t="shared" ref="I379" si="8">I378/$C378</f>
        <v>0.32175507722681518</v>
      </c>
      <c r="J379" s="51"/>
    </row>
    <row r="380" spans="2:10" x14ac:dyDescent="0.25">
      <c r="B380" s="49" t="s">
        <v>372</v>
      </c>
      <c r="C380" s="20">
        <f>SUM(D380:I380)</f>
        <v>14223.395833333332</v>
      </c>
      <c r="D380" s="129">
        <f>D239</f>
        <v>7098.359375</v>
      </c>
      <c r="E380" s="20">
        <f>D240</f>
        <v>0</v>
      </c>
      <c r="F380" s="20">
        <f>D241+D243</f>
        <v>0</v>
      </c>
      <c r="G380" s="20">
        <f>D242</f>
        <v>0</v>
      </c>
      <c r="H380" s="20">
        <f>D244</f>
        <v>2996.4166666666665</v>
      </c>
      <c r="I380" s="20">
        <f>D245</f>
        <v>4128.619791666667</v>
      </c>
      <c r="J380" s="20"/>
    </row>
    <row r="381" spans="2:10" x14ac:dyDescent="0.25">
      <c r="B381" s="49" t="s">
        <v>372</v>
      </c>
      <c r="C381" s="51" t="s">
        <v>109</v>
      </c>
      <c r="D381" s="141">
        <f t="shared" ref="D381:I381" si="9">D380/$C380</f>
        <v>0.4990622111749568</v>
      </c>
      <c r="E381" s="52">
        <f t="shared" si="9"/>
        <v>0</v>
      </c>
      <c r="F381" s="52">
        <f t="shared" si="9"/>
        <v>0</v>
      </c>
      <c r="G381" s="52">
        <f t="shared" si="9"/>
        <v>0</v>
      </c>
      <c r="H381" s="52">
        <f t="shared" si="9"/>
        <v>0.21066816263696991</v>
      </c>
      <c r="I381" s="52">
        <f t="shared" si="9"/>
        <v>0.29026962618807339</v>
      </c>
      <c r="J381" s="51"/>
    </row>
    <row r="382" spans="2:10" x14ac:dyDescent="0.25">
      <c r="B382" s="49" t="s">
        <v>373</v>
      </c>
      <c r="C382" s="20">
        <f>SUM(D382:J382)</f>
        <v>47.35573072494703</v>
      </c>
      <c r="D382" s="129">
        <f>Backup!J20/Backup!C15</f>
        <v>2.1339464210557963</v>
      </c>
      <c r="E382" s="20">
        <f>Backup!J31/Backup!C15</f>
        <v>0</v>
      </c>
      <c r="F382" s="20">
        <f>(Backup!J39+Backup!J58)/Backup!C15</f>
        <v>0</v>
      </c>
      <c r="G382" s="20">
        <f>Backup!J41/Backup!C15</f>
        <v>0</v>
      </c>
      <c r="H382" s="20">
        <f>Backup!J53/Backup!C15</f>
        <v>2.7023959836459834</v>
      </c>
      <c r="I382" s="20">
        <f>Backup!J56/Backup!C15</f>
        <v>3.7235026981120734</v>
      </c>
      <c r="J382" s="20">
        <f>(Backup!C5+Backup!C6)/Backup!C15</f>
        <v>38.795885622133177</v>
      </c>
    </row>
    <row r="383" spans="2:10" x14ac:dyDescent="0.25">
      <c r="B383" s="49" t="s">
        <v>373</v>
      </c>
      <c r="C383" s="51" t="s">
        <v>109</v>
      </c>
      <c r="D383" s="141">
        <f>D382/$C382</f>
        <v>4.5062052435643908E-2</v>
      </c>
      <c r="E383" s="52">
        <f t="shared" ref="E383:J383" si="10">E382/$C382</f>
        <v>0</v>
      </c>
      <c r="F383" s="52">
        <f t="shared" si="10"/>
        <v>0</v>
      </c>
      <c r="G383" s="52">
        <f t="shared" si="10"/>
        <v>0</v>
      </c>
      <c r="H383" s="52">
        <f t="shared" si="10"/>
        <v>5.706587021837168E-2</v>
      </c>
      <c r="I383" s="52">
        <f t="shared" si="10"/>
        <v>7.8628344259727145E-2</v>
      </c>
      <c r="J383" s="52">
        <f t="shared" si="10"/>
        <v>0.81924373308625731</v>
      </c>
    </row>
    <row r="384" spans="2:10" x14ac:dyDescent="0.25">
      <c r="B384" s="49" t="s">
        <v>374</v>
      </c>
      <c r="C384" s="20">
        <f>D254</f>
        <v>54.855506638857364</v>
      </c>
      <c r="D384" s="129">
        <f>$C384*D$379</f>
        <v>24.395651049595607</v>
      </c>
      <c r="E384" s="20">
        <f t="shared" ref="E384:I385" si="11">$C384*E$379</f>
        <v>0</v>
      </c>
      <c r="F384" s="20">
        <f t="shared" si="11"/>
        <v>0</v>
      </c>
      <c r="G384" s="20">
        <f t="shared" si="11"/>
        <v>0</v>
      </c>
      <c r="H384" s="20">
        <f t="shared" si="11"/>
        <v>12.809817814360125</v>
      </c>
      <c r="I384" s="20">
        <f t="shared" si="11"/>
        <v>17.650037774901623</v>
      </c>
      <c r="J384" s="51"/>
    </row>
    <row r="385" spans="2:10" x14ac:dyDescent="0.25">
      <c r="B385" s="49" t="s">
        <v>328</v>
      </c>
      <c r="C385" s="20">
        <f>E343</f>
        <v>58.551388147688492</v>
      </c>
      <c r="D385" s="129">
        <f>$C385*D$379</f>
        <v>26.039304369647692</v>
      </c>
      <c r="E385" s="20">
        <f t="shared" si="11"/>
        <v>0</v>
      </c>
      <c r="F385" s="20">
        <f t="shared" si="11"/>
        <v>0</v>
      </c>
      <c r="G385" s="20">
        <f t="shared" si="11"/>
        <v>0</v>
      </c>
      <c r="H385" s="20">
        <f t="shared" si="11"/>
        <v>13.67287736284405</v>
      </c>
      <c r="I385" s="20">
        <f t="shared" si="11"/>
        <v>18.839206415196742</v>
      </c>
      <c r="J385" s="51"/>
    </row>
    <row r="386" spans="2:10" x14ac:dyDescent="0.25">
      <c r="B386" s="49" t="s">
        <v>17</v>
      </c>
      <c r="C386" s="20">
        <f>D252</f>
        <v>63.389962849848366</v>
      </c>
      <c r="D386" s="129">
        <f t="shared" ref="D386:I386" si="12">$C386*D$381</f>
        <v>31.635535026143693</v>
      </c>
      <c r="E386" s="20">
        <f t="shared" si="12"/>
        <v>0</v>
      </c>
      <c r="F386" s="20">
        <f t="shared" si="12"/>
        <v>0</v>
      </c>
      <c r="G386" s="20">
        <f t="shared" si="12"/>
        <v>0</v>
      </c>
      <c r="H386" s="20">
        <f t="shared" si="12"/>
        <v>13.354247003203337</v>
      </c>
      <c r="I386" s="20">
        <f t="shared" si="12"/>
        <v>18.400180820501344</v>
      </c>
      <c r="J386" s="51"/>
    </row>
    <row r="387" spans="2:10" x14ac:dyDescent="0.25">
      <c r="B387" s="49" t="s">
        <v>23</v>
      </c>
      <c r="C387" s="20">
        <f>D200</f>
        <v>40.969893787594792</v>
      </c>
      <c r="D387" s="129">
        <f t="shared" ref="D387:I387" si="13">$C387*D$377</f>
        <v>11.99088199211892</v>
      </c>
      <c r="E387" s="20">
        <f t="shared" si="13"/>
        <v>0</v>
      </c>
      <c r="F387" s="20">
        <f t="shared" si="13"/>
        <v>0</v>
      </c>
      <c r="G387" s="20">
        <f t="shared" si="13"/>
        <v>0</v>
      </c>
      <c r="H387" s="20">
        <f t="shared" si="13"/>
        <v>13.286930327361471</v>
      </c>
      <c r="I387" s="20">
        <f t="shared" si="13"/>
        <v>15.692081468114399</v>
      </c>
      <c r="J387" s="55"/>
    </row>
    <row r="388" spans="2:10" x14ac:dyDescent="0.25">
      <c r="B388" s="49" t="s">
        <v>375</v>
      </c>
      <c r="C388" s="20">
        <f>E340</f>
        <v>26.866056935419465</v>
      </c>
      <c r="D388" s="129">
        <f>$C388*D$383</f>
        <v>1.2106396663628667</v>
      </c>
      <c r="E388" s="20">
        <f t="shared" ref="E388:J388" si="14">$C388*E$383</f>
        <v>0</v>
      </c>
      <c r="F388" s="20">
        <f t="shared" si="14"/>
        <v>0</v>
      </c>
      <c r="G388" s="20">
        <f t="shared" si="14"/>
        <v>0</v>
      </c>
      <c r="H388" s="20">
        <f t="shared" si="14"/>
        <v>1.5331349183560317</v>
      </c>
      <c r="I388" s="20">
        <f t="shared" si="14"/>
        <v>2.1124335736195916</v>
      </c>
      <c r="J388" s="55">
        <f t="shared" si="14"/>
        <v>22.009848777080975</v>
      </c>
    </row>
    <row r="389" spans="2:10" x14ac:dyDescent="0.25">
      <c r="B389" s="49" t="s">
        <v>20</v>
      </c>
      <c r="C389" s="20">
        <f>D257</f>
        <v>11.015501311703167</v>
      </c>
      <c r="D389" s="129">
        <f t="shared" ref="D389:D390" si="15">$C389*D$377</f>
        <v>3.2239667741744995</v>
      </c>
      <c r="E389" s="20">
        <f t="shared" ref="E389:I390" si="16">$C389*E$377</f>
        <v>0</v>
      </c>
      <c r="F389" s="20">
        <f t="shared" si="16"/>
        <v>0</v>
      </c>
      <c r="G389" s="20">
        <f t="shared" si="16"/>
        <v>0</v>
      </c>
      <c r="H389" s="20">
        <f t="shared" si="16"/>
        <v>3.5724329481634061</v>
      </c>
      <c r="I389" s="20">
        <f t="shared" si="16"/>
        <v>4.2191015893652608</v>
      </c>
      <c r="J389" s="51"/>
    </row>
    <row r="390" spans="2:10" x14ac:dyDescent="0.25">
      <c r="B390" s="49" t="s">
        <v>31</v>
      </c>
      <c r="C390" s="20">
        <f>D260</f>
        <v>11.015501311703167</v>
      </c>
      <c r="D390" s="129">
        <f t="shared" si="15"/>
        <v>3.2239667741744995</v>
      </c>
      <c r="E390" s="20">
        <f t="shared" si="16"/>
        <v>0</v>
      </c>
      <c r="F390" s="20">
        <f t="shared" si="16"/>
        <v>0</v>
      </c>
      <c r="G390" s="20">
        <f t="shared" si="16"/>
        <v>0</v>
      </c>
      <c r="H390" s="20">
        <f t="shared" si="16"/>
        <v>3.5724329481634061</v>
      </c>
      <c r="I390" s="20">
        <f t="shared" si="16"/>
        <v>4.2191015893652608</v>
      </c>
      <c r="J390" s="51"/>
    </row>
    <row r="391" spans="2:10" x14ac:dyDescent="0.25">
      <c r="B391" s="49" t="s">
        <v>117</v>
      </c>
      <c r="C391" s="20">
        <f>E342</f>
        <v>0</v>
      </c>
      <c r="D391" s="129">
        <f>$C391*D$383</f>
        <v>0</v>
      </c>
      <c r="E391" s="20">
        <f t="shared" ref="E391:J391" si="17">$C391*E$383</f>
        <v>0</v>
      </c>
      <c r="F391" s="20">
        <f t="shared" si="17"/>
        <v>0</v>
      </c>
      <c r="G391" s="20">
        <f t="shared" si="17"/>
        <v>0</v>
      </c>
      <c r="H391" s="20">
        <f t="shared" si="17"/>
        <v>0</v>
      </c>
      <c r="I391" s="20">
        <f t="shared" si="17"/>
        <v>0</v>
      </c>
      <c r="J391" s="50">
        <f t="shared" si="17"/>
        <v>0</v>
      </c>
    </row>
    <row r="392" spans="2:10" x14ac:dyDescent="0.25">
      <c r="B392" s="49" t="s">
        <v>376</v>
      </c>
      <c r="C392" s="20">
        <f>D204</f>
        <v>50.410482245440903</v>
      </c>
      <c r="D392" s="129">
        <f t="shared" ref="D392:I393" si="18">$C392*D$377</f>
        <v>14.753910442255362</v>
      </c>
      <c r="E392" s="20">
        <f t="shared" si="18"/>
        <v>0</v>
      </c>
      <c r="F392" s="20">
        <f t="shared" si="18"/>
        <v>0</v>
      </c>
      <c r="G392" s="20">
        <f t="shared" si="18"/>
        <v>0</v>
      </c>
      <c r="H392" s="20">
        <f t="shared" si="18"/>
        <v>16.348603900131994</v>
      </c>
      <c r="I392" s="20">
        <f t="shared" si="18"/>
        <v>19.307967903053548</v>
      </c>
      <c r="J392" s="51"/>
    </row>
    <row r="393" spans="2:10" x14ac:dyDescent="0.25">
      <c r="B393" s="49" t="s">
        <v>377</v>
      </c>
      <c r="C393" s="20">
        <f>E341</f>
        <v>39.450895790769337</v>
      </c>
      <c r="D393" s="129">
        <f t="shared" si="18"/>
        <v>11.546308573876033</v>
      </c>
      <c r="E393" s="20">
        <f t="shared" si="18"/>
        <v>0</v>
      </c>
      <c r="F393" s="20">
        <f t="shared" si="18"/>
        <v>0</v>
      </c>
      <c r="G393" s="20">
        <f t="shared" si="18"/>
        <v>0</v>
      </c>
      <c r="H393" s="20">
        <f t="shared" si="18"/>
        <v>12.794304677515814</v>
      </c>
      <c r="I393" s="20">
        <f t="shared" si="18"/>
        <v>15.11028253937749</v>
      </c>
      <c r="J393" s="51"/>
    </row>
    <row r="394" spans="2:10" x14ac:dyDescent="0.25">
      <c r="B394" s="49"/>
      <c r="C394" s="19"/>
      <c r="D394" s="142"/>
      <c r="E394" s="19"/>
      <c r="F394" s="19"/>
      <c r="G394" s="19"/>
      <c r="H394" s="19"/>
      <c r="I394" s="19"/>
      <c r="J394" s="19"/>
    </row>
    <row r="395" spans="2:10" x14ac:dyDescent="0.25">
      <c r="B395" s="30"/>
      <c r="C395" s="30"/>
      <c r="D395" s="131"/>
    </row>
    <row r="396" spans="2:10" x14ac:dyDescent="0.25">
      <c r="B396" s="6" t="s">
        <v>1</v>
      </c>
      <c r="C396" s="6" t="s">
        <v>146</v>
      </c>
      <c r="D396" s="132" t="str">
        <f>D7</f>
        <v>xxxx</v>
      </c>
    </row>
    <row r="397" spans="2:10" x14ac:dyDescent="0.25">
      <c r="B397" s="6"/>
      <c r="C397" s="6"/>
      <c r="D397" s="132">
        <f>D8</f>
        <v>0</v>
      </c>
    </row>
    <row r="398" spans="2:10" x14ac:dyDescent="0.25">
      <c r="B398" s="2" t="s">
        <v>378</v>
      </c>
      <c r="C398" s="3"/>
      <c r="D398" s="133"/>
    </row>
    <row r="399" spans="2:10" x14ac:dyDescent="0.25">
      <c r="B399" s="3" t="s">
        <v>379</v>
      </c>
      <c r="C399" s="40" t="str">
        <f>Input!$C$5</f>
        <v>INR</v>
      </c>
      <c r="D399" s="123">
        <f>VLOOKUP($D$11,Machine,COLUMNS(Backup!$C$19:$D$19),0)*VLOOKUP($D$11,Machine,COLUMNS(Backup!$C$19:$H$19),0)*Input!$C$112</f>
        <v>498414.76904461277</v>
      </c>
    </row>
    <row r="400" spans="2:10" x14ac:dyDescent="0.25">
      <c r="B400" s="3" t="s">
        <v>89</v>
      </c>
      <c r="C400" s="40" t="str">
        <f>Input!$C$5</f>
        <v>INR</v>
      </c>
      <c r="D400" s="123">
        <f>IF($D$98="Y",VLOOKUP($D$99,Machine,COLUMNS(Backup!$C$19:$D$19),0),IF($D$98="N",0))*VLOOKUP($D$99,Machine,COLUMNS(Backup!$C$19:$H$19),0)*Input!$C$112</f>
        <v>0</v>
      </c>
    </row>
    <row r="401" spans="1:4" x14ac:dyDescent="0.25">
      <c r="B401" s="3" t="s">
        <v>94</v>
      </c>
      <c r="C401" s="40" t="str">
        <f>Input!$C$5</f>
        <v>INR</v>
      </c>
      <c r="D401" s="123">
        <f>IF($D$113="Y",VLOOKUP($D$114,Machine,COLUMNS(Backup!$C$19:$D$19),0),IF($D$113="N",0))*VLOOKUP($D$114,Machine,COLUMNS(Backup!$C$19:$H$19),0)*Input!$C$112</f>
        <v>0</v>
      </c>
    </row>
    <row r="402" spans="1:4" x14ac:dyDescent="0.25">
      <c r="B402" s="3" t="s">
        <v>36</v>
      </c>
      <c r="C402" s="40" t="str">
        <f>Input!$C$5</f>
        <v>INR</v>
      </c>
      <c r="D402" s="123">
        <f>IF($D$134="Y",VLOOKUP($D$135,Machine,COLUMNS(Backup!$C$19:$D$19),0),IF($D$134="N",0))*VLOOKUP($D$135,Machine,COLUMNS(Backup!$C$19:$H$19),0)*Input!$C$112</f>
        <v>0</v>
      </c>
    </row>
    <row r="403" spans="1:4" x14ac:dyDescent="0.25">
      <c r="B403" s="3" t="s">
        <v>623</v>
      </c>
      <c r="C403" s="40" t="str">
        <f>Input!$C$5</f>
        <v>INR</v>
      </c>
      <c r="D403" s="123">
        <f>IF($D$148="Y",VLOOKUP($D$149,Machine,COLUMNS(Backup!$C$19:$D$19),0),IF($D$148="N",0))*VLOOKUP($D$149,Machine,COLUMNS(Backup!$C$19:$H$19),0)*Input!$C$112</f>
        <v>0</v>
      </c>
    </row>
    <row r="404" spans="1:4" x14ac:dyDescent="0.25">
      <c r="B404" s="3" t="s">
        <v>270</v>
      </c>
      <c r="C404" s="40" t="str">
        <f>Input!$C$5</f>
        <v>INR</v>
      </c>
      <c r="D404" s="123">
        <f>VLOOKUP($D$163,Machine,COLUMNS(Backup!$C$19:$D$19),0)*VLOOKUP($D$163,Machine,COLUMNS(Backup!$C$19:$H$19),0)*Input!$C$112</f>
        <v>552286.50526094274</v>
      </c>
    </row>
    <row r="405" spans="1:4" x14ac:dyDescent="0.25">
      <c r="B405" s="3" t="s">
        <v>273</v>
      </c>
      <c r="C405" s="40" t="str">
        <f>Input!$C$5</f>
        <v>INR</v>
      </c>
      <c r="D405" s="123">
        <f>VLOOKUP($D$183,Machine,COLUMNS(Backup!$C$19:$D$19),0)*VLOOKUP($D$183,Machine,COLUMNS(Backup!$C$19:$H$19),0)*Input!$C$112</f>
        <v>652259.37223800505</v>
      </c>
    </row>
    <row r="406" spans="1:4" x14ac:dyDescent="0.25">
      <c r="B406" s="3" t="s">
        <v>581</v>
      </c>
      <c r="C406" s="40" t="str">
        <f>Input!$C$5</f>
        <v>INR</v>
      </c>
      <c r="D406" s="123">
        <f>D337</f>
        <v>19285.444787950473</v>
      </c>
    </row>
    <row r="407" spans="1:4" x14ac:dyDescent="0.25">
      <c r="B407" s="3" t="s">
        <v>39</v>
      </c>
      <c r="C407" s="40" t="str">
        <f>Input!$C$5</f>
        <v>INR</v>
      </c>
      <c r="D407" s="128">
        <f>SUM(D399:D406)</f>
        <v>1722246.091331511</v>
      </c>
    </row>
    <row r="408" spans="1:4" x14ac:dyDescent="0.25">
      <c r="B408" s="3"/>
      <c r="C408" s="3"/>
      <c r="D408" s="133"/>
    </row>
    <row r="409" spans="1:4" x14ac:dyDescent="0.25">
      <c r="B409" s="41" t="s">
        <v>23</v>
      </c>
      <c r="C409" s="40" t="s">
        <v>109</v>
      </c>
      <c r="D409" s="135">
        <f>_xlfn.XLOOKUP($B$409,Input!A:A,Input!C:C,0)</f>
        <v>0.15</v>
      </c>
    </row>
    <row r="410" spans="1:4" x14ac:dyDescent="0.25">
      <c r="B410" s="3" t="s">
        <v>380</v>
      </c>
      <c r="C410" s="40" t="str">
        <f>Input!$C$5</f>
        <v>INR</v>
      </c>
      <c r="D410" s="128">
        <f>D407*5%</f>
        <v>86112.304566575564</v>
      </c>
    </row>
    <row r="411" spans="1:4" x14ac:dyDescent="0.25">
      <c r="B411" s="3" t="s">
        <v>381</v>
      </c>
      <c r="C411" s="40" t="str">
        <f>Input!$C$5</f>
        <v>INR</v>
      </c>
      <c r="D411" s="128">
        <f>D407-D410</f>
        <v>1636133.7867649356</v>
      </c>
    </row>
    <row r="412" spans="1:4" x14ac:dyDescent="0.25">
      <c r="A412" s="1">
        <v>1</v>
      </c>
      <c r="B412" s="3" t="s">
        <v>382</v>
      </c>
      <c r="C412" s="40" t="str">
        <f>Input!$C$5</f>
        <v>INR</v>
      </c>
      <c r="D412" s="123">
        <f>D411*D$409</f>
        <v>245420.06801474033</v>
      </c>
    </row>
    <row r="413" spans="1:4" x14ac:dyDescent="0.25">
      <c r="B413" s="3" t="s">
        <v>383</v>
      </c>
      <c r="C413" s="40" t="str">
        <f>Input!$C$5</f>
        <v>INR</v>
      </c>
      <c r="D413" s="128">
        <f>D411-D412</f>
        <v>1390713.7187501953</v>
      </c>
    </row>
    <row r="414" spans="1:4" x14ac:dyDescent="0.25">
      <c r="A414" s="1">
        <f>A412+1</f>
        <v>2</v>
      </c>
      <c r="B414" s="3" t="s">
        <v>384</v>
      </c>
      <c r="C414" s="40" t="str">
        <f>Input!$C$5</f>
        <v>INR</v>
      </c>
      <c r="D414" s="123">
        <f>D413*D$409</f>
        <v>208607.0578125293</v>
      </c>
    </row>
    <row r="415" spans="1:4" x14ac:dyDescent="0.25">
      <c r="B415" s="3" t="s">
        <v>385</v>
      </c>
      <c r="C415" s="40" t="str">
        <f>Input!$C$5</f>
        <v>INR</v>
      </c>
      <c r="D415" s="128">
        <f>D413-D414</f>
        <v>1182106.660937666</v>
      </c>
    </row>
    <row r="416" spans="1:4" x14ac:dyDescent="0.25">
      <c r="A416" s="1">
        <f>A414+1</f>
        <v>3</v>
      </c>
      <c r="B416" s="3" t="s">
        <v>386</v>
      </c>
      <c r="C416" s="40" t="str">
        <f>Input!$C$5</f>
        <v>INR</v>
      </c>
      <c r="D416" s="123">
        <f>D415*D$409</f>
        <v>177315.99914064989</v>
      </c>
    </row>
    <row r="417" spans="1:4" x14ac:dyDescent="0.25">
      <c r="B417" s="3" t="s">
        <v>387</v>
      </c>
      <c r="C417" s="40" t="str">
        <f>Input!$C$5</f>
        <v>INR</v>
      </c>
      <c r="D417" s="128">
        <f>D415-D416</f>
        <v>1004790.661797016</v>
      </c>
    </row>
    <row r="418" spans="1:4" x14ac:dyDescent="0.25">
      <c r="A418" s="1">
        <f>A416+1</f>
        <v>4</v>
      </c>
      <c r="B418" s="3" t="s">
        <v>388</v>
      </c>
      <c r="C418" s="40" t="str">
        <f>Input!$C$5</f>
        <v>INR</v>
      </c>
      <c r="D418" s="123">
        <f>D417*D$409</f>
        <v>150718.59926955239</v>
      </c>
    </row>
    <row r="419" spans="1:4" x14ac:dyDescent="0.25">
      <c r="B419" s="3" t="s">
        <v>389</v>
      </c>
      <c r="C419" s="40" t="str">
        <f>Input!$C$5</f>
        <v>INR</v>
      </c>
      <c r="D419" s="128">
        <f>D417-D418</f>
        <v>854072.06252746365</v>
      </c>
    </row>
    <row r="420" spans="1:4" x14ac:dyDescent="0.25">
      <c r="A420" s="1">
        <f>A418+1</f>
        <v>5</v>
      </c>
      <c r="B420" s="3" t="s">
        <v>390</v>
      </c>
      <c r="C420" s="40" t="str">
        <f>Input!$C$5</f>
        <v>INR</v>
      </c>
      <c r="D420" s="123">
        <f>D419*D$409</f>
        <v>128110.80937911954</v>
      </c>
    </row>
    <row r="421" spans="1:4" x14ac:dyDescent="0.25">
      <c r="B421" s="3" t="s">
        <v>391</v>
      </c>
      <c r="C421" s="40" t="str">
        <f>Input!$C$5</f>
        <v>INR</v>
      </c>
      <c r="D421" s="128">
        <f>D419-D420</f>
        <v>725961.25314834411</v>
      </c>
    </row>
    <row r="422" spans="1:4" x14ac:dyDescent="0.25">
      <c r="A422" s="1">
        <f>A420+1</f>
        <v>6</v>
      </c>
      <c r="B422" s="3" t="s">
        <v>392</v>
      </c>
      <c r="C422" s="40" t="str">
        <f>Input!$C$5</f>
        <v>INR</v>
      </c>
      <c r="D422" s="123">
        <f>D421*D$409</f>
        <v>108894.18797225162</v>
      </c>
    </row>
    <row r="423" spans="1:4" x14ac:dyDescent="0.25">
      <c r="B423" s="3" t="s">
        <v>393</v>
      </c>
      <c r="C423" s="40" t="str">
        <f>Input!$C$5</f>
        <v>INR</v>
      </c>
      <c r="D423" s="128">
        <f>D421-D422</f>
        <v>617067.06517609255</v>
      </c>
    </row>
    <row r="424" spans="1:4" x14ac:dyDescent="0.25">
      <c r="A424" s="1">
        <f>A422+1</f>
        <v>7</v>
      </c>
      <c r="B424" s="3" t="s">
        <v>394</v>
      </c>
      <c r="C424" s="40" t="str">
        <f>Input!$C$5</f>
        <v>INR</v>
      </c>
      <c r="D424" s="123">
        <f>D423*D$409</f>
        <v>92560.05977641388</v>
      </c>
    </row>
    <row r="425" spans="1:4" x14ac:dyDescent="0.25">
      <c r="B425" s="3" t="s">
        <v>395</v>
      </c>
      <c r="C425" s="40" t="str">
        <f>Input!$C$5</f>
        <v>INR</v>
      </c>
      <c r="D425" s="128">
        <f>D423-D424</f>
        <v>524507.00539967872</v>
      </c>
    </row>
    <row r="426" spans="1:4" x14ac:dyDescent="0.25">
      <c r="A426" s="1">
        <f>A424+1</f>
        <v>8</v>
      </c>
      <c r="B426" s="3" t="s">
        <v>396</v>
      </c>
      <c r="C426" s="40" t="str">
        <f>Input!$C$5</f>
        <v>INR</v>
      </c>
      <c r="D426" s="123">
        <f>D425*D$409</f>
        <v>78676.050809951805</v>
      </c>
    </row>
    <row r="427" spans="1:4" x14ac:dyDescent="0.25">
      <c r="B427" s="3" t="s">
        <v>397</v>
      </c>
      <c r="C427" s="40" t="str">
        <f>Input!$C$5</f>
        <v>INR</v>
      </c>
      <c r="D427" s="128">
        <f>D425-D426</f>
        <v>445830.95458972693</v>
      </c>
    </row>
    <row r="428" spans="1:4" x14ac:dyDescent="0.25">
      <c r="A428" s="1">
        <f>A426+1</f>
        <v>9</v>
      </c>
      <c r="B428" s="3" t="s">
        <v>398</v>
      </c>
      <c r="C428" s="40" t="str">
        <f>Input!$C$5</f>
        <v>INR</v>
      </c>
      <c r="D428" s="123">
        <f>D427*D$409</f>
        <v>66874.643188459042</v>
      </c>
    </row>
    <row r="429" spans="1:4" x14ac:dyDescent="0.25">
      <c r="B429" s="3" t="s">
        <v>399</v>
      </c>
      <c r="C429" s="40" t="str">
        <f>Input!$C$5</f>
        <v>INR</v>
      </c>
      <c r="D429" s="128">
        <f>D427-D428</f>
        <v>378956.31140126789</v>
      </c>
    </row>
    <row r="430" spans="1:4" x14ac:dyDescent="0.25">
      <c r="A430" s="1">
        <f>A428+1</f>
        <v>10</v>
      </c>
      <c r="B430" s="3" t="s">
        <v>400</v>
      </c>
      <c r="C430" s="40" t="str">
        <f>Input!$C$5</f>
        <v>INR</v>
      </c>
      <c r="D430" s="123">
        <f>D429*D$409</f>
        <v>56843.446710190183</v>
      </c>
    </row>
    <row r="431" spans="1:4" x14ac:dyDescent="0.25">
      <c r="B431" s="3" t="s">
        <v>401</v>
      </c>
      <c r="C431" s="40" t="str">
        <f>Input!$C$5</f>
        <v>INR</v>
      </c>
      <c r="D431" s="128">
        <f>D429-D430</f>
        <v>322112.86469107773</v>
      </c>
    </row>
    <row r="432" spans="1:4" x14ac:dyDescent="0.25">
      <c r="A432" s="1">
        <f>A430+1</f>
        <v>11</v>
      </c>
      <c r="B432" s="3" t="s">
        <v>402</v>
      </c>
      <c r="C432" s="40" t="str">
        <f>Input!$C$5</f>
        <v>INR</v>
      </c>
      <c r="D432" s="123">
        <f>D431*D$409</f>
        <v>48316.929703661655</v>
      </c>
    </row>
    <row r="433" spans="1:4" x14ac:dyDescent="0.25">
      <c r="B433" s="3" t="s">
        <v>403</v>
      </c>
      <c r="C433" s="40" t="str">
        <f>Input!$C$5</f>
        <v>INR</v>
      </c>
      <c r="D433" s="128">
        <f>D431-D432</f>
        <v>273795.93498741608</v>
      </c>
    </row>
    <row r="434" spans="1:4" x14ac:dyDescent="0.25">
      <c r="A434" s="1">
        <f>A432+1</f>
        <v>12</v>
      </c>
      <c r="B434" s="3" t="s">
        <v>404</v>
      </c>
      <c r="C434" s="40" t="str">
        <f>Input!$C$5</f>
        <v>INR</v>
      </c>
      <c r="D434" s="123">
        <f>D433*D$409</f>
        <v>41069.39024811241</v>
      </c>
    </row>
    <row r="435" spans="1:4" x14ac:dyDescent="0.25">
      <c r="B435" s="3" t="s">
        <v>405</v>
      </c>
      <c r="C435" s="40" t="str">
        <f>Input!$C$5</f>
        <v>INR</v>
      </c>
      <c r="D435" s="128">
        <f>D433-D434</f>
        <v>232726.54473930367</v>
      </c>
    </row>
    <row r="436" spans="1:4" x14ac:dyDescent="0.25">
      <c r="A436" s="1">
        <f>A434+1</f>
        <v>13</v>
      </c>
      <c r="B436" s="3" t="s">
        <v>406</v>
      </c>
      <c r="C436" s="40" t="str">
        <f>Input!$C$5</f>
        <v>INR</v>
      </c>
      <c r="D436" s="123">
        <f>D435*D$409</f>
        <v>34908.981710895547</v>
      </c>
    </row>
    <row r="437" spans="1:4" x14ac:dyDescent="0.25">
      <c r="B437" s="3" t="s">
        <v>407</v>
      </c>
      <c r="C437" s="40" t="str">
        <f>Input!$C$5</f>
        <v>INR</v>
      </c>
      <c r="D437" s="128">
        <f>D435-D436</f>
        <v>197817.56302840813</v>
      </c>
    </row>
    <row r="438" spans="1:4" x14ac:dyDescent="0.25">
      <c r="A438" s="1">
        <f>A436+1</f>
        <v>14</v>
      </c>
      <c r="B438" s="3" t="s">
        <v>408</v>
      </c>
      <c r="C438" s="40" t="str">
        <f>Input!$C$5</f>
        <v>INR</v>
      </c>
      <c r="D438" s="123">
        <f>D437*D$409</f>
        <v>29672.634454261217</v>
      </c>
    </row>
    <row r="439" spans="1:4" x14ac:dyDescent="0.25">
      <c r="B439" s="3" t="s">
        <v>409</v>
      </c>
      <c r="C439" s="40" t="str">
        <f>Input!$C$5</f>
        <v>INR</v>
      </c>
      <c r="D439" s="128">
        <f>D437-D438</f>
        <v>168144.92857414691</v>
      </c>
    </row>
    <row r="440" spans="1:4" x14ac:dyDescent="0.25">
      <c r="A440" s="1">
        <f>A438+1</f>
        <v>15</v>
      </c>
      <c r="B440" s="3" t="s">
        <v>410</v>
      </c>
      <c r="C440" s="40" t="str">
        <f>Input!$C$5</f>
        <v>INR</v>
      </c>
      <c r="D440" s="123">
        <f>D439*D$409</f>
        <v>25221.739286122036</v>
      </c>
    </row>
    <row r="441" spans="1:4" x14ac:dyDescent="0.25">
      <c r="B441" s="3"/>
      <c r="C441" s="3"/>
      <c r="D441" s="133"/>
    </row>
    <row r="443" spans="1:4" x14ac:dyDescent="0.25">
      <c r="B443" s="12" t="s">
        <v>411</v>
      </c>
    </row>
    <row r="444" spans="1:4" x14ac:dyDescent="0.25">
      <c r="D444" s="131">
        <f>D374</f>
        <v>1</v>
      </c>
    </row>
    <row r="445" spans="1:4" x14ac:dyDescent="0.25">
      <c r="B445" s="6" t="s">
        <v>1</v>
      </c>
      <c r="C445" s="6" t="s">
        <v>146</v>
      </c>
      <c r="D445" s="132" t="str">
        <f t="shared" ref="D445:D446" si="19">D396</f>
        <v>xxxx</v>
      </c>
    </row>
    <row r="446" spans="1:4" x14ac:dyDescent="0.25">
      <c r="B446" s="6"/>
      <c r="C446" s="6"/>
      <c r="D446" s="132">
        <f t="shared" si="19"/>
        <v>0</v>
      </c>
    </row>
    <row r="447" spans="1:4" x14ac:dyDescent="0.25">
      <c r="B447" s="3" t="s">
        <v>412</v>
      </c>
      <c r="C447" s="40" t="str">
        <f>Input!$C$5</f>
        <v>INR</v>
      </c>
      <c r="D447" s="128">
        <f>D407</f>
        <v>1722246.091331511</v>
      </c>
    </row>
    <row r="448" spans="1:4" x14ac:dyDescent="0.25">
      <c r="B448" s="3"/>
      <c r="C448" s="3"/>
      <c r="D448" s="133"/>
    </row>
    <row r="449" spans="1:4" x14ac:dyDescent="0.25">
      <c r="B449" s="3" t="s">
        <v>121</v>
      </c>
      <c r="C449" s="40" t="s">
        <v>109</v>
      </c>
      <c r="D449" s="193">
        <f>_xlfn.XLOOKUP($B449,Input!A:A,Input!C:C,0)</f>
        <v>0.125</v>
      </c>
    </row>
    <row r="450" spans="1:4" x14ac:dyDescent="0.25">
      <c r="B450" s="3" t="s">
        <v>413</v>
      </c>
      <c r="C450" s="40" t="s">
        <v>111</v>
      </c>
      <c r="D450" s="123">
        <v>10</v>
      </c>
    </row>
    <row r="451" spans="1:4" x14ac:dyDescent="0.25">
      <c r="B451" s="3" t="s">
        <v>414</v>
      </c>
      <c r="C451" s="40"/>
      <c r="D451" s="123">
        <v>1</v>
      </c>
    </row>
    <row r="452" spans="1:4" x14ac:dyDescent="0.25">
      <c r="B452" s="3" t="s">
        <v>415</v>
      </c>
      <c r="C452" s="40" t="str">
        <f>Input!$C$5</f>
        <v>INR</v>
      </c>
      <c r="D452" s="123">
        <f>-PMT((D449/D451),(D450*D451),D447)</f>
        <v>311075.15793420741</v>
      </c>
    </row>
    <row r="453" spans="1:4" x14ac:dyDescent="0.25">
      <c r="B453" s="3"/>
      <c r="C453" s="3"/>
      <c r="D453" s="133"/>
    </row>
    <row r="454" spans="1:4" x14ac:dyDescent="0.25">
      <c r="B454" s="3" t="s">
        <v>416</v>
      </c>
      <c r="C454" s="40" t="str">
        <f>Input!$C$5</f>
        <v>INR</v>
      </c>
      <c r="D454" s="128">
        <f>D447</f>
        <v>1722246.091331511</v>
      </c>
    </row>
    <row r="455" spans="1:4" x14ac:dyDescent="0.25">
      <c r="A455" s="1">
        <v>1</v>
      </c>
      <c r="B455" s="3" t="s">
        <v>24</v>
      </c>
      <c r="C455" s="40" t="str">
        <f>Input!$C$5</f>
        <v>INR</v>
      </c>
      <c r="D455" s="128">
        <f>D454*D$449</f>
        <v>215280.76141643888</v>
      </c>
    </row>
    <row r="456" spans="1:4" x14ac:dyDescent="0.25">
      <c r="B456" s="3" t="s">
        <v>417</v>
      </c>
      <c r="C456" s="40" t="str">
        <f>Input!$C$5</f>
        <v>INR</v>
      </c>
      <c r="D456" s="128">
        <f>D$452-D455</f>
        <v>95794.396517768531</v>
      </c>
    </row>
    <row r="457" spans="1:4" x14ac:dyDescent="0.25">
      <c r="B457" s="3" t="s">
        <v>418</v>
      </c>
      <c r="C457" s="40" t="str">
        <f>Input!$C$5</f>
        <v>INR</v>
      </c>
      <c r="D457" s="128">
        <f>D454-D456</f>
        <v>1626451.6948137425</v>
      </c>
    </row>
    <row r="458" spans="1:4" x14ac:dyDescent="0.25">
      <c r="B458" s="3"/>
      <c r="C458" s="3"/>
      <c r="D458" s="133"/>
    </row>
    <row r="459" spans="1:4" x14ac:dyDescent="0.25">
      <c r="B459" s="3" t="s">
        <v>416</v>
      </c>
      <c r="C459" s="40" t="str">
        <f>Input!$C$5</f>
        <v>INR</v>
      </c>
      <c r="D459" s="128">
        <f>D457</f>
        <v>1626451.6948137425</v>
      </c>
    </row>
    <row r="460" spans="1:4" x14ac:dyDescent="0.25">
      <c r="A460" s="1">
        <f>A455+1</f>
        <v>2</v>
      </c>
      <c r="B460" s="3" t="s">
        <v>24</v>
      </c>
      <c r="C460" s="40" t="str">
        <f>Input!$C$5</f>
        <v>INR</v>
      </c>
      <c r="D460" s="123">
        <f>D459*D$449</f>
        <v>203306.46185171782</v>
      </c>
    </row>
    <row r="461" spans="1:4" x14ac:dyDescent="0.25">
      <c r="B461" s="3" t="s">
        <v>417</v>
      </c>
      <c r="C461" s="40" t="str">
        <f>Input!$C$5</f>
        <v>INR</v>
      </c>
      <c r="D461" s="128">
        <f>D$452-D460</f>
        <v>107768.69608248959</v>
      </c>
    </row>
    <row r="462" spans="1:4" x14ac:dyDescent="0.25">
      <c r="B462" s="3" t="s">
        <v>418</v>
      </c>
      <c r="C462" s="40" t="str">
        <f>Input!$C$5</f>
        <v>INR</v>
      </c>
      <c r="D462" s="128">
        <f>D459-D461</f>
        <v>1518682.998731253</v>
      </c>
    </row>
    <row r="463" spans="1:4" x14ac:dyDescent="0.25">
      <c r="B463" s="3"/>
      <c r="C463" s="3"/>
      <c r="D463" s="133"/>
    </row>
    <row r="464" spans="1:4" x14ac:dyDescent="0.25">
      <c r="B464" s="3" t="s">
        <v>416</v>
      </c>
      <c r="C464" s="40" t="str">
        <f>Input!$C$5</f>
        <v>INR</v>
      </c>
      <c r="D464" s="128">
        <f>D462</f>
        <v>1518682.998731253</v>
      </c>
    </row>
    <row r="465" spans="1:4" x14ac:dyDescent="0.25">
      <c r="A465" s="1">
        <f>A460+1</f>
        <v>3</v>
      </c>
      <c r="B465" s="3" t="s">
        <v>24</v>
      </c>
      <c r="C465" s="40" t="str">
        <f>Input!$C$5</f>
        <v>INR</v>
      </c>
      <c r="D465" s="123">
        <f>D464*D$449</f>
        <v>189835.37484140662</v>
      </c>
    </row>
    <row r="466" spans="1:4" x14ac:dyDescent="0.25">
      <c r="B466" s="3" t="s">
        <v>417</v>
      </c>
      <c r="C466" s="40" t="str">
        <f>Input!$C$5</f>
        <v>INR</v>
      </c>
      <c r="D466" s="128">
        <f>D$452-D465</f>
        <v>121239.78309280079</v>
      </c>
    </row>
    <row r="467" spans="1:4" x14ac:dyDescent="0.25">
      <c r="B467" s="3" t="s">
        <v>418</v>
      </c>
      <c r="C467" s="40" t="str">
        <f>Input!$C$5</f>
        <v>INR</v>
      </c>
      <c r="D467" s="128">
        <f>D464-D466</f>
        <v>1397443.2156384522</v>
      </c>
    </row>
    <row r="468" spans="1:4" x14ac:dyDescent="0.25">
      <c r="B468" s="3"/>
      <c r="C468" s="3"/>
      <c r="D468" s="133"/>
    </row>
    <row r="469" spans="1:4" x14ac:dyDescent="0.25">
      <c r="B469" s="3" t="s">
        <v>416</v>
      </c>
      <c r="C469" s="40" t="str">
        <f>Input!$C$5</f>
        <v>INR</v>
      </c>
      <c r="D469" s="128">
        <f>D467</f>
        <v>1397443.2156384522</v>
      </c>
    </row>
    <row r="470" spans="1:4" x14ac:dyDescent="0.25">
      <c r="A470" s="1">
        <f>A465+1</f>
        <v>4</v>
      </c>
      <c r="B470" s="3" t="s">
        <v>24</v>
      </c>
      <c r="C470" s="40" t="str">
        <f>Input!$C$5</f>
        <v>INR</v>
      </c>
      <c r="D470" s="123">
        <f>D469*D$449</f>
        <v>174680.40195480653</v>
      </c>
    </row>
    <row r="471" spans="1:4" x14ac:dyDescent="0.25">
      <c r="B471" s="3" t="s">
        <v>417</v>
      </c>
      <c r="C471" s="40" t="str">
        <f>Input!$C$5</f>
        <v>INR</v>
      </c>
      <c r="D471" s="128">
        <f>D$452-D470</f>
        <v>136394.75597940088</v>
      </c>
    </row>
    <row r="472" spans="1:4" x14ac:dyDescent="0.25">
      <c r="B472" s="3" t="s">
        <v>418</v>
      </c>
      <c r="C472" s="40" t="str">
        <f>Input!$C$5</f>
        <v>INR</v>
      </c>
      <c r="D472" s="128">
        <f>D469-D471</f>
        <v>1261048.4596590514</v>
      </c>
    </row>
    <row r="473" spans="1:4" x14ac:dyDescent="0.25">
      <c r="B473" s="3"/>
      <c r="C473" s="3"/>
      <c r="D473" s="133"/>
    </row>
    <row r="474" spans="1:4" x14ac:dyDescent="0.25">
      <c r="B474" s="3" t="s">
        <v>416</v>
      </c>
      <c r="C474" s="40" t="str">
        <f>Input!$C$5</f>
        <v>INR</v>
      </c>
      <c r="D474" s="128">
        <f>D472</f>
        <v>1261048.4596590514</v>
      </c>
    </row>
    <row r="475" spans="1:4" x14ac:dyDescent="0.25">
      <c r="A475" s="1">
        <f>A470+1</f>
        <v>5</v>
      </c>
      <c r="B475" s="3" t="s">
        <v>24</v>
      </c>
      <c r="C475" s="40" t="str">
        <f>Input!$C$5</f>
        <v>INR</v>
      </c>
      <c r="D475" s="123">
        <f>D474*D$449</f>
        <v>157631.05745738142</v>
      </c>
    </row>
    <row r="476" spans="1:4" x14ac:dyDescent="0.25">
      <c r="B476" s="3" t="s">
        <v>417</v>
      </c>
      <c r="C476" s="40" t="str">
        <f>Input!$C$5</f>
        <v>INR</v>
      </c>
      <c r="D476" s="128">
        <f>D$452-D475</f>
        <v>153444.10047682599</v>
      </c>
    </row>
    <row r="477" spans="1:4" x14ac:dyDescent="0.25">
      <c r="B477" s="3" t="s">
        <v>418</v>
      </c>
      <c r="C477" s="40" t="str">
        <f>Input!$C$5</f>
        <v>INR</v>
      </c>
      <c r="D477" s="128">
        <f>D474-D476</f>
        <v>1107604.3591822253</v>
      </c>
    </row>
    <row r="478" spans="1:4" x14ac:dyDescent="0.25">
      <c r="B478" s="3"/>
      <c r="C478" s="3"/>
      <c r="D478" s="133"/>
    </row>
    <row r="479" spans="1:4" x14ac:dyDescent="0.25">
      <c r="B479" s="3" t="s">
        <v>416</v>
      </c>
      <c r="C479" s="40" t="str">
        <f>Input!$C$5</f>
        <v>INR</v>
      </c>
      <c r="D479" s="128">
        <f>D477</f>
        <v>1107604.3591822253</v>
      </c>
    </row>
    <row r="480" spans="1:4" x14ac:dyDescent="0.25">
      <c r="A480" s="1">
        <f>A475+1</f>
        <v>6</v>
      </c>
      <c r="B480" s="3" t="s">
        <v>24</v>
      </c>
      <c r="C480" s="40" t="str">
        <f>Input!$C$5</f>
        <v>INR</v>
      </c>
      <c r="D480" s="123">
        <f>D479*D$449</f>
        <v>138450.54489777816</v>
      </c>
    </row>
    <row r="481" spans="1:4" x14ac:dyDescent="0.25">
      <c r="B481" s="3" t="s">
        <v>417</v>
      </c>
      <c r="C481" s="40" t="str">
        <f>Input!$C$5</f>
        <v>INR</v>
      </c>
      <c r="D481" s="128">
        <f>D$452-D480</f>
        <v>172624.61303642925</v>
      </c>
    </row>
    <row r="482" spans="1:4" x14ac:dyDescent="0.25">
      <c r="B482" s="3" t="s">
        <v>418</v>
      </c>
      <c r="C482" s="40" t="str">
        <f>Input!$C$5</f>
        <v>INR</v>
      </c>
      <c r="D482" s="128">
        <f>D479-D481</f>
        <v>934979.74614579603</v>
      </c>
    </row>
    <row r="483" spans="1:4" x14ac:dyDescent="0.25">
      <c r="B483" s="3"/>
      <c r="C483" s="3"/>
      <c r="D483" s="133"/>
    </row>
    <row r="484" spans="1:4" x14ac:dyDescent="0.25">
      <c r="B484" s="3" t="s">
        <v>416</v>
      </c>
      <c r="C484" s="40" t="str">
        <f>Input!$C$5</f>
        <v>INR</v>
      </c>
      <c r="D484" s="128">
        <f>D482</f>
        <v>934979.74614579603</v>
      </c>
    </row>
    <row r="485" spans="1:4" x14ac:dyDescent="0.25">
      <c r="A485" s="1">
        <f>A480+1</f>
        <v>7</v>
      </c>
      <c r="B485" s="3" t="s">
        <v>24</v>
      </c>
      <c r="C485" s="40" t="str">
        <f>Input!$C$5</f>
        <v>INR</v>
      </c>
      <c r="D485" s="123">
        <f>D484*D$449</f>
        <v>116872.4682682245</v>
      </c>
    </row>
    <row r="486" spans="1:4" x14ac:dyDescent="0.25">
      <c r="B486" s="3" t="s">
        <v>417</v>
      </c>
      <c r="C486" s="40" t="str">
        <f>Input!$C$5</f>
        <v>INR</v>
      </c>
      <c r="D486" s="128">
        <f>D$452-D485</f>
        <v>194202.68966598291</v>
      </c>
    </row>
    <row r="487" spans="1:4" x14ac:dyDescent="0.25">
      <c r="B487" s="3" t="s">
        <v>418</v>
      </c>
      <c r="C487" s="40" t="str">
        <f>Input!$C$5</f>
        <v>INR</v>
      </c>
      <c r="D487" s="128">
        <f>D484-D486</f>
        <v>740777.05647981307</v>
      </c>
    </row>
    <row r="488" spans="1:4" x14ac:dyDescent="0.25">
      <c r="B488" s="3"/>
    </row>
    <row r="489" spans="1:4" x14ac:dyDescent="0.25">
      <c r="B489" s="3" t="s">
        <v>416</v>
      </c>
      <c r="C489" s="40" t="str">
        <f>Input!$C$5</f>
        <v>INR</v>
      </c>
      <c r="D489" s="128">
        <f>D487</f>
        <v>740777.05647981307</v>
      </c>
    </row>
    <row r="490" spans="1:4" x14ac:dyDescent="0.25">
      <c r="A490" s="1">
        <f>A485+1</f>
        <v>8</v>
      </c>
      <c r="B490" s="3" t="s">
        <v>24</v>
      </c>
      <c r="C490" s="40" t="str">
        <f>Input!$C$5</f>
        <v>INR</v>
      </c>
      <c r="D490" s="123">
        <f>D489*D$449</f>
        <v>92597.132059976633</v>
      </c>
    </row>
    <row r="491" spans="1:4" x14ac:dyDescent="0.25">
      <c r="B491" s="3" t="s">
        <v>417</v>
      </c>
      <c r="C491" s="40" t="str">
        <f>Input!$C$5</f>
        <v>INR</v>
      </c>
      <c r="D491" s="128">
        <f>D$452-D490</f>
        <v>218478.02587423078</v>
      </c>
    </row>
    <row r="492" spans="1:4" x14ac:dyDescent="0.25">
      <c r="B492" s="3" t="s">
        <v>418</v>
      </c>
      <c r="C492" s="40" t="str">
        <f>Input!$C$5</f>
        <v>INR</v>
      </c>
      <c r="D492" s="128">
        <f>D489-D491</f>
        <v>522299.03060558229</v>
      </c>
    </row>
    <row r="493" spans="1:4" x14ac:dyDescent="0.25">
      <c r="B493" s="3"/>
    </row>
    <row r="494" spans="1:4" x14ac:dyDescent="0.25">
      <c r="B494" s="3" t="s">
        <v>416</v>
      </c>
      <c r="C494" s="40" t="str">
        <f>Input!$C$5</f>
        <v>INR</v>
      </c>
      <c r="D494" s="128">
        <f>D492</f>
        <v>522299.03060558229</v>
      </c>
    </row>
    <row r="495" spans="1:4" x14ac:dyDescent="0.25">
      <c r="A495" s="1">
        <f>A490+1</f>
        <v>9</v>
      </c>
      <c r="B495" s="3" t="s">
        <v>24</v>
      </c>
      <c r="C495" s="40" t="str">
        <f>Input!$C$5</f>
        <v>INR</v>
      </c>
      <c r="D495" s="123">
        <f>D494*D$449</f>
        <v>65287.378825697786</v>
      </c>
    </row>
    <row r="496" spans="1:4" x14ac:dyDescent="0.25">
      <c r="B496" s="3" t="s">
        <v>417</v>
      </c>
      <c r="C496" s="40" t="str">
        <f>Input!$C$5</f>
        <v>INR</v>
      </c>
      <c r="D496" s="128">
        <f>D$452-D495</f>
        <v>245787.77910850963</v>
      </c>
    </row>
    <row r="497" spans="1:4" x14ac:dyDescent="0.25">
      <c r="B497" s="3" t="s">
        <v>418</v>
      </c>
      <c r="C497" s="40" t="str">
        <f>Input!$C$5</f>
        <v>INR</v>
      </c>
      <c r="D497" s="128">
        <f>D494-D496</f>
        <v>276511.25149707263</v>
      </c>
    </row>
    <row r="498" spans="1:4" x14ac:dyDescent="0.25">
      <c r="B498" s="3"/>
    </row>
    <row r="499" spans="1:4" x14ac:dyDescent="0.25">
      <c r="B499" s="3" t="s">
        <v>416</v>
      </c>
      <c r="C499" s="40" t="str">
        <f>Input!$C$5</f>
        <v>INR</v>
      </c>
      <c r="D499" s="128">
        <f>D497</f>
        <v>276511.25149707263</v>
      </c>
    </row>
    <row r="500" spans="1:4" x14ac:dyDescent="0.25">
      <c r="A500" s="1">
        <f>A495+1</f>
        <v>10</v>
      </c>
      <c r="B500" s="3" t="s">
        <v>24</v>
      </c>
      <c r="C500" s="40" t="str">
        <f>Input!$C$5</f>
        <v>INR</v>
      </c>
      <c r="D500" s="123">
        <f>D499*D$449</f>
        <v>34563.906437134079</v>
      </c>
    </row>
    <row r="501" spans="1:4" x14ac:dyDescent="0.25">
      <c r="B501" s="3" t="s">
        <v>417</v>
      </c>
      <c r="C501" s="40" t="str">
        <f>Input!$C$5</f>
        <v>INR</v>
      </c>
      <c r="D501" s="128">
        <f>D$452-D500</f>
        <v>276511.25149707333</v>
      </c>
    </row>
    <row r="502" spans="1:4" x14ac:dyDescent="0.25">
      <c r="B502" s="3" t="s">
        <v>418</v>
      </c>
      <c r="C502" s="40" t="str">
        <f>Input!$C$5</f>
        <v>INR</v>
      </c>
      <c r="D502" s="128">
        <f>D499-D501</f>
        <v>-6.9849193096160889E-10</v>
      </c>
    </row>
    <row r="505" spans="1:4" x14ac:dyDescent="0.25">
      <c r="B505" s="10" t="s">
        <v>419</v>
      </c>
    </row>
    <row r="507" spans="1:4" x14ac:dyDescent="0.25">
      <c r="B507" s="6" t="s">
        <v>1</v>
      </c>
      <c r="C507" s="6" t="s">
        <v>146</v>
      </c>
      <c r="D507" s="132" t="s">
        <v>420</v>
      </c>
    </row>
    <row r="508" spans="1:4" x14ac:dyDescent="0.25">
      <c r="B508" s="2" t="s">
        <v>378</v>
      </c>
      <c r="C508" s="3"/>
      <c r="D508" s="133"/>
    </row>
    <row r="509" spans="1:4" x14ac:dyDescent="0.25">
      <c r="B509" s="40" t="s">
        <v>39</v>
      </c>
      <c r="C509" s="40" t="str">
        <f>Input!$C$5</f>
        <v>INR</v>
      </c>
      <c r="D509" s="128">
        <f>D335</f>
        <v>1347817.9150195315</v>
      </c>
    </row>
    <row r="510" spans="1:4" x14ac:dyDescent="0.25">
      <c r="B510" s="3"/>
      <c r="C510" s="3"/>
      <c r="D510" s="133"/>
    </row>
    <row r="511" spans="1:4" x14ac:dyDescent="0.25">
      <c r="B511" s="42" t="s">
        <v>112</v>
      </c>
      <c r="C511" s="40" t="s">
        <v>109</v>
      </c>
      <c r="D511" s="135">
        <f>_xlfn.XLOOKUP($B$511,Input!A:A,Input!C:C,0)</f>
        <v>0.1</v>
      </c>
    </row>
    <row r="512" spans="1:4" x14ac:dyDescent="0.25">
      <c r="B512" s="40" t="s">
        <v>380</v>
      </c>
      <c r="C512" s="40" t="str">
        <f>Input!$C$5</f>
        <v>INR</v>
      </c>
      <c r="D512" s="128">
        <f>D509*5%</f>
        <v>67390.895750976575</v>
      </c>
    </row>
    <row r="513" spans="1:4" x14ac:dyDescent="0.25">
      <c r="B513" s="40" t="s">
        <v>381</v>
      </c>
      <c r="C513" s="40" t="str">
        <f>Input!$C$5</f>
        <v>INR</v>
      </c>
      <c r="D513" s="128">
        <f>D509-D512</f>
        <v>1280427.0192685549</v>
      </c>
    </row>
    <row r="514" spans="1:4" x14ac:dyDescent="0.25">
      <c r="A514" s="1">
        <v>1</v>
      </c>
      <c r="B514" s="40" t="s">
        <v>382</v>
      </c>
      <c r="C514" s="40" t="str">
        <f>Input!$C$5</f>
        <v>INR</v>
      </c>
      <c r="D514" s="123">
        <f>D513*D$511</f>
        <v>128042.70192685549</v>
      </c>
    </row>
    <row r="515" spans="1:4" x14ac:dyDescent="0.25">
      <c r="B515" s="40" t="s">
        <v>383</v>
      </c>
      <c r="C515" s="40" t="str">
        <f>Input!$C$5</f>
        <v>INR</v>
      </c>
      <c r="D515" s="128">
        <f>D513-D514</f>
        <v>1152384.3173416993</v>
      </c>
    </row>
    <row r="516" spans="1:4" x14ac:dyDescent="0.25">
      <c r="A516" s="1">
        <f>A514+1</f>
        <v>2</v>
      </c>
      <c r="B516" s="40" t="s">
        <v>384</v>
      </c>
      <c r="C516" s="40" t="str">
        <f>Input!$C$5</f>
        <v>INR</v>
      </c>
      <c r="D516" s="123">
        <f>D515*D$511</f>
        <v>115238.43173416994</v>
      </c>
    </row>
    <row r="517" spans="1:4" x14ac:dyDescent="0.25">
      <c r="B517" s="40" t="s">
        <v>385</v>
      </c>
      <c r="C517" s="40" t="str">
        <f>Input!$C$5</f>
        <v>INR</v>
      </c>
      <c r="D517" s="128">
        <f>D515-D516</f>
        <v>1037145.8856075293</v>
      </c>
    </row>
    <row r="518" spans="1:4" x14ac:dyDescent="0.25">
      <c r="A518" s="1">
        <f>A516+1</f>
        <v>3</v>
      </c>
      <c r="B518" s="40" t="s">
        <v>386</v>
      </c>
      <c r="C518" s="40" t="str">
        <f>Input!$C$5</f>
        <v>INR</v>
      </c>
      <c r="D518" s="123">
        <f>D517*D$511</f>
        <v>103714.58856075293</v>
      </c>
    </row>
    <row r="519" spans="1:4" x14ac:dyDescent="0.25">
      <c r="B519" s="40" t="s">
        <v>387</v>
      </c>
      <c r="C519" s="40" t="str">
        <f>Input!$C$5</f>
        <v>INR</v>
      </c>
      <c r="D519" s="128">
        <f>D517-D518</f>
        <v>933431.2970467764</v>
      </c>
    </row>
    <row r="520" spans="1:4" x14ac:dyDescent="0.25">
      <c r="A520" s="1">
        <f>A518+1</f>
        <v>4</v>
      </c>
      <c r="B520" s="40" t="s">
        <v>388</v>
      </c>
      <c r="C520" s="40" t="str">
        <f>Input!$C$5</f>
        <v>INR</v>
      </c>
      <c r="D520" s="123">
        <f>D519*D$511</f>
        <v>93343.129704677645</v>
      </c>
    </row>
    <row r="521" spans="1:4" x14ac:dyDescent="0.25">
      <c r="B521" s="40" t="s">
        <v>389</v>
      </c>
      <c r="C521" s="40" t="str">
        <f>Input!$C$5</f>
        <v>INR</v>
      </c>
      <c r="D521" s="128">
        <f>D519-D520</f>
        <v>840088.16734209878</v>
      </c>
    </row>
    <row r="522" spans="1:4" x14ac:dyDescent="0.25">
      <c r="A522" s="1">
        <f>A520+1</f>
        <v>5</v>
      </c>
      <c r="B522" s="40" t="s">
        <v>390</v>
      </c>
      <c r="C522" s="40" t="str">
        <f>Input!$C$5</f>
        <v>INR</v>
      </c>
      <c r="D522" s="123">
        <f>D521*D$511</f>
        <v>84008.81673420989</v>
      </c>
    </row>
    <row r="523" spans="1:4" x14ac:dyDescent="0.25">
      <c r="B523" s="40" t="s">
        <v>391</v>
      </c>
      <c r="C523" s="40" t="str">
        <f>Input!$C$5</f>
        <v>INR</v>
      </c>
      <c r="D523" s="128">
        <f>D521-D522</f>
        <v>756079.35060788889</v>
      </c>
    </row>
    <row r="524" spans="1:4" x14ac:dyDescent="0.25">
      <c r="A524" s="1">
        <f>A522+1</f>
        <v>6</v>
      </c>
      <c r="B524" s="40" t="s">
        <v>392</v>
      </c>
      <c r="C524" s="40" t="str">
        <f>Input!$C$5</f>
        <v>INR</v>
      </c>
      <c r="D524" s="123">
        <f>D523*D$511</f>
        <v>75607.935060788892</v>
      </c>
    </row>
    <row r="525" spans="1:4" x14ac:dyDescent="0.25">
      <c r="B525" s="40" t="s">
        <v>393</v>
      </c>
      <c r="C525" s="40" t="str">
        <f>Input!$C$5</f>
        <v>INR</v>
      </c>
      <c r="D525" s="128">
        <f>D523-D524</f>
        <v>680471.41554710001</v>
      </c>
    </row>
    <row r="526" spans="1:4" x14ac:dyDescent="0.25">
      <c r="A526" s="1">
        <f>A524+1</f>
        <v>7</v>
      </c>
      <c r="B526" s="40" t="s">
        <v>394</v>
      </c>
      <c r="C526" s="40" t="str">
        <f>Input!$C$5</f>
        <v>INR</v>
      </c>
      <c r="D526" s="123">
        <f>D525*D$511</f>
        <v>68047.141554710004</v>
      </c>
    </row>
    <row r="527" spans="1:4" x14ac:dyDescent="0.25">
      <c r="B527" s="40" t="s">
        <v>395</v>
      </c>
      <c r="C527" s="40" t="str">
        <f>Input!$C$5</f>
        <v>INR</v>
      </c>
      <c r="D527" s="128">
        <f>D525-D526</f>
        <v>612424.27399239002</v>
      </c>
    </row>
    <row r="528" spans="1:4" x14ac:dyDescent="0.25">
      <c r="A528" s="1">
        <f>A526+1</f>
        <v>8</v>
      </c>
      <c r="B528" s="40" t="s">
        <v>396</v>
      </c>
      <c r="C528" s="40" t="str">
        <f>Input!$C$5</f>
        <v>INR</v>
      </c>
      <c r="D528" s="123">
        <f>D527*D$511</f>
        <v>61242.427399239008</v>
      </c>
    </row>
    <row r="529" spans="1:4" x14ac:dyDescent="0.25">
      <c r="B529" s="40" t="s">
        <v>397</v>
      </c>
      <c r="C529" s="40" t="str">
        <f>Input!$C$5</f>
        <v>INR</v>
      </c>
      <c r="D529" s="128">
        <f>D527-D528</f>
        <v>551181.84659315099</v>
      </c>
    </row>
    <row r="530" spans="1:4" x14ac:dyDescent="0.25">
      <c r="A530" s="1">
        <f>A528+1</f>
        <v>9</v>
      </c>
      <c r="B530" s="40" t="s">
        <v>398</v>
      </c>
      <c r="C530" s="40" t="str">
        <f>Input!$C$5</f>
        <v>INR</v>
      </c>
      <c r="D530" s="123">
        <f>D529*D$511</f>
        <v>55118.184659315099</v>
      </c>
    </row>
    <row r="531" spans="1:4" x14ac:dyDescent="0.25">
      <c r="B531" s="40" t="s">
        <v>399</v>
      </c>
      <c r="C531" s="40" t="str">
        <f>Input!$C$5</f>
        <v>INR</v>
      </c>
      <c r="D531" s="128">
        <f>D529-D530</f>
        <v>496063.66193383589</v>
      </c>
    </row>
    <row r="532" spans="1:4" x14ac:dyDescent="0.25">
      <c r="A532" s="1">
        <f>A530+1</f>
        <v>10</v>
      </c>
      <c r="B532" s="40" t="s">
        <v>400</v>
      </c>
      <c r="C532" s="40" t="str">
        <f>Input!$C$5</f>
        <v>INR</v>
      </c>
      <c r="D532" s="123">
        <f>D531*D$511</f>
        <v>49606.36619338359</v>
      </c>
    </row>
    <row r="533" spans="1:4" x14ac:dyDescent="0.25">
      <c r="B533" s="40" t="s">
        <v>401</v>
      </c>
      <c r="C533" s="40" t="str">
        <f>Input!$C$5</f>
        <v>INR</v>
      </c>
      <c r="D533" s="128">
        <f>D531-D532</f>
        <v>446457.2957404523</v>
      </c>
    </row>
    <row r="534" spans="1:4" x14ac:dyDescent="0.25">
      <c r="A534" s="1">
        <f>A532+1</f>
        <v>11</v>
      </c>
      <c r="B534" s="40" t="s">
        <v>402</v>
      </c>
      <c r="C534" s="40" t="str">
        <f>Input!$C$5</f>
        <v>INR</v>
      </c>
      <c r="D534" s="123">
        <f>D533*D$511</f>
        <v>44645.729574045232</v>
      </c>
    </row>
    <row r="535" spans="1:4" x14ac:dyDescent="0.25">
      <c r="B535" s="40" t="s">
        <v>403</v>
      </c>
      <c r="C535" s="40" t="str">
        <f>Input!$C$5</f>
        <v>INR</v>
      </c>
      <c r="D535" s="128">
        <f>D533-D534</f>
        <v>401811.56616640708</v>
      </c>
    </row>
    <row r="536" spans="1:4" x14ac:dyDescent="0.25">
      <c r="A536" s="1">
        <f>A534+1</f>
        <v>12</v>
      </c>
      <c r="B536" s="40" t="s">
        <v>404</v>
      </c>
      <c r="C536" s="40" t="str">
        <f>Input!$C$5</f>
        <v>INR</v>
      </c>
      <c r="D536" s="123">
        <f>D535*D$511</f>
        <v>40181.156616640714</v>
      </c>
    </row>
    <row r="537" spans="1:4" x14ac:dyDescent="0.25">
      <c r="B537" s="40" t="s">
        <v>405</v>
      </c>
      <c r="C537" s="40" t="str">
        <f>Input!$C$5</f>
        <v>INR</v>
      </c>
      <c r="D537" s="128">
        <f>D535-D536</f>
        <v>361630.40954976634</v>
      </c>
    </row>
    <row r="538" spans="1:4" x14ac:dyDescent="0.25">
      <c r="A538" s="1">
        <f>A536+1</f>
        <v>13</v>
      </c>
      <c r="B538" s="40" t="s">
        <v>406</v>
      </c>
      <c r="C538" s="40" t="str">
        <f>Input!$C$5</f>
        <v>INR</v>
      </c>
      <c r="D538" s="123">
        <f>D537*D$511</f>
        <v>36163.040954976634</v>
      </c>
    </row>
    <row r="539" spans="1:4" x14ac:dyDescent="0.25">
      <c r="B539" s="40" t="s">
        <v>407</v>
      </c>
      <c r="C539" s="40" t="str">
        <f>Input!$C$5</f>
        <v>INR</v>
      </c>
      <c r="D539" s="128">
        <f>D537-D538</f>
        <v>325467.3685947897</v>
      </c>
    </row>
    <row r="540" spans="1:4" x14ac:dyDescent="0.25">
      <c r="A540" s="1">
        <f>A538+1</f>
        <v>14</v>
      </c>
      <c r="B540" s="40" t="s">
        <v>408</v>
      </c>
      <c r="C540" s="40" t="str">
        <f>Input!$C$5</f>
        <v>INR</v>
      </c>
      <c r="D540" s="123">
        <f>D539*D$511</f>
        <v>32546.736859478973</v>
      </c>
    </row>
    <row r="541" spans="1:4" x14ac:dyDescent="0.25">
      <c r="B541" s="40" t="s">
        <v>409</v>
      </c>
      <c r="C541" s="40" t="str">
        <f>Input!$C$5</f>
        <v>INR</v>
      </c>
      <c r="D541" s="128">
        <f>D539-D540</f>
        <v>292920.63173531072</v>
      </c>
    </row>
    <row r="542" spans="1:4" x14ac:dyDescent="0.25">
      <c r="A542" s="1">
        <f>A540+1</f>
        <v>15</v>
      </c>
      <c r="B542" s="40" t="s">
        <v>410</v>
      </c>
      <c r="C542" s="40" t="str">
        <f>Input!$C$5</f>
        <v>INR</v>
      </c>
      <c r="D542" s="123">
        <f>D541*D$511</f>
        <v>29292.063173531074</v>
      </c>
    </row>
    <row r="543" spans="1:4" x14ac:dyDescent="0.25">
      <c r="B543" s="3"/>
      <c r="C543" s="3"/>
      <c r="D543" s="133"/>
    </row>
    <row r="545" spans="1:4" x14ac:dyDescent="0.25">
      <c r="B545" s="10" t="s">
        <v>421</v>
      </c>
    </row>
    <row r="547" spans="1:4" x14ac:dyDescent="0.25">
      <c r="B547" s="11" t="s">
        <v>1</v>
      </c>
      <c r="C547" s="11" t="s">
        <v>146</v>
      </c>
      <c r="D547" s="132" t="str">
        <f>D507</f>
        <v>Common Cost</v>
      </c>
    </row>
    <row r="548" spans="1:4" x14ac:dyDescent="0.25">
      <c r="B548" s="40" t="s">
        <v>412</v>
      </c>
      <c r="C548" s="40" t="str">
        <f>Input!$C$5</f>
        <v>INR</v>
      </c>
      <c r="D548" s="128">
        <f>D509</f>
        <v>1347817.9150195315</v>
      </c>
    </row>
    <row r="549" spans="1:4" x14ac:dyDescent="0.25">
      <c r="B549" s="3"/>
      <c r="C549" s="3"/>
      <c r="D549" s="133"/>
    </row>
    <row r="550" spans="1:4" x14ac:dyDescent="0.25">
      <c r="B550" s="40" t="s">
        <v>121</v>
      </c>
      <c r="C550" s="40" t="s">
        <v>109</v>
      </c>
      <c r="D550" s="135">
        <f>_xlfn.XLOOKUP(B550,Input!A:A,Input!C:C,0)</f>
        <v>0.125</v>
      </c>
    </row>
    <row r="551" spans="1:4" x14ac:dyDescent="0.25">
      <c r="B551" s="40" t="s">
        <v>413</v>
      </c>
      <c r="C551" s="40" t="s">
        <v>111</v>
      </c>
      <c r="D551" s="123">
        <v>10</v>
      </c>
    </row>
    <row r="552" spans="1:4" x14ac:dyDescent="0.25">
      <c r="B552" s="40" t="s">
        <v>414</v>
      </c>
      <c r="C552" s="40"/>
      <c r="D552" s="123">
        <v>1</v>
      </c>
    </row>
    <row r="553" spans="1:4" x14ac:dyDescent="0.25">
      <c r="B553" s="40" t="s">
        <v>415</v>
      </c>
      <c r="C553" s="40" t="str">
        <f>Input!$C$5</f>
        <v>INR</v>
      </c>
      <c r="D553" s="123">
        <f>-PMT((D550/D552),(D551*D552),D548)</f>
        <v>243445.27352482177</v>
      </c>
    </row>
    <row r="554" spans="1:4" x14ac:dyDescent="0.25">
      <c r="B554" s="3"/>
      <c r="C554" s="3"/>
      <c r="D554" s="133"/>
    </row>
    <row r="555" spans="1:4" x14ac:dyDescent="0.25">
      <c r="B555" s="40" t="s">
        <v>416</v>
      </c>
      <c r="C555" s="40" t="str">
        <f>Input!$C$5</f>
        <v>INR</v>
      </c>
      <c r="D555" s="128">
        <f>D548</f>
        <v>1347817.9150195315</v>
      </c>
    </row>
    <row r="556" spans="1:4" x14ac:dyDescent="0.25">
      <c r="A556" s="1">
        <v>1</v>
      </c>
      <c r="B556" s="40" t="s">
        <v>24</v>
      </c>
      <c r="C556" s="40" t="str">
        <f>Input!$C$5</f>
        <v>INR</v>
      </c>
      <c r="D556" s="128">
        <f>D555*D$550</f>
        <v>168477.23937744144</v>
      </c>
    </row>
    <row r="557" spans="1:4" x14ac:dyDescent="0.25">
      <c r="B557" s="40" t="s">
        <v>417</v>
      </c>
      <c r="C557" s="40" t="str">
        <f>Input!$C$5</f>
        <v>INR</v>
      </c>
      <c r="D557" s="128">
        <f>D$553-D556</f>
        <v>74968.034147380327</v>
      </c>
    </row>
    <row r="558" spans="1:4" x14ac:dyDescent="0.25">
      <c r="B558" s="40" t="s">
        <v>418</v>
      </c>
      <c r="C558" s="40" t="str">
        <f>Input!$C$5</f>
        <v>INR</v>
      </c>
      <c r="D558" s="128">
        <f>D555-D557</f>
        <v>1272849.8808721511</v>
      </c>
    </row>
    <row r="559" spans="1:4" x14ac:dyDescent="0.25">
      <c r="B559" s="3"/>
      <c r="C559" s="3"/>
      <c r="D559" s="133"/>
    </row>
    <row r="560" spans="1:4" x14ac:dyDescent="0.25">
      <c r="B560" s="40" t="s">
        <v>416</v>
      </c>
      <c r="C560" s="40" t="str">
        <f>Input!$C$5</f>
        <v>INR</v>
      </c>
      <c r="D560" s="128">
        <f>D558</f>
        <v>1272849.8808721511</v>
      </c>
    </row>
    <row r="561" spans="1:4" x14ac:dyDescent="0.25">
      <c r="A561" s="1">
        <f>A556+1</f>
        <v>2</v>
      </c>
      <c r="B561" s="40" t="s">
        <v>24</v>
      </c>
      <c r="C561" s="40" t="str">
        <f>Input!$C$5</f>
        <v>INR</v>
      </c>
      <c r="D561" s="128">
        <f>D560*D$550</f>
        <v>159106.23510901889</v>
      </c>
    </row>
    <row r="562" spans="1:4" x14ac:dyDescent="0.25">
      <c r="B562" s="40" t="s">
        <v>417</v>
      </c>
      <c r="C562" s="40" t="str">
        <f>Input!$C$5</f>
        <v>INR</v>
      </c>
      <c r="D562" s="128">
        <f>D$553-D561</f>
        <v>84339.038415802876</v>
      </c>
    </row>
    <row r="563" spans="1:4" x14ac:dyDescent="0.25">
      <c r="B563" s="40" t="s">
        <v>418</v>
      </c>
      <c r="C563" s="40" t="str">
        <f>Input!$C$5</f>
        <v>INR</v>
      </c>
      <c r="D563" s="128">
        <f>D560-D562</f>
        <v>1188510.8424563482</v>
      </c>
    </row>
    <row r="564" spans="1:4" x14ac:dyDescent="0.25">
      <c r="B564" s="3"/>
      <c r="C564" s="3"/>
      <c r="D564" s="133"/>
    </row>
    <row r="565" spans="1:4" x14ac:dyDescent="0.25">
      <c r="B565" s="40" t="s">
        <v>416</v>
      </c>
      <c r="C565" s="40" t="str">
        <f>Input!$C$5</f>
        <v>INR</v>
      </c>
      <c r="D565" s="128">
        <f>D563</f>
        <v>1188510.8424563482</v>
      </c>
    </row>
    <row r="566" spans="1:4" x14ac:dyDescent="0.25">
      <c r="A566" s="1">
        <f>A561+1</f>
        <v>3</v>
      </c>
      <c r="B566" s="40" t="s">
        <v>24</v>
      </c>
      <c r="C566" s="40" t="str">
        <f>Input!$C$5</f>
        <v>INR</v>
      </c>
      <c r="D566" s="128">
        <f>D565*D$550</f>
        <v>148563.85530704353</v>
      </c>
    </row>
    <row r="567" spans="1:4" x14ac:dyDescent="0.25">
      <c r="B567" s="40" t="s">
        <v>417</v>
      </c>
      <c r="C567" s="40" t="str">
        <f>Input!$C$5</f>
        <v>INR</v>
      </c>
      <c r="D567" s="128">
        <f>D$553-D566</f>
        <v>94881.418217778235</v>
      </c>
    </row>
    <row r="568" spans="1:4" x14ac:dyDescent="0.25">
      <c r="B568" s="40" t="s">
        <v>418</v>
      </c>
      <c r="C568" s="40" t="str">
        <f>Input!$C$5</f>
        <v>INR</v>
      </c>
      <c r="D568" s="128">
        <f>D565-D567</f>
        <v>1093629.42423857</v>
      </c>
    </row>
    <row r="569" spans="1:4" x14ac:dyDescent="0.25">
      <c r="B569" s="3"/>
      <c r="C569" s="3"/>
      <c r="D569" s="133"/>
    </row>
    <row r="570" spans="1:4" x14ac:dyDescent="0.25">
      <c r="B570" s="40" t="s">
        <v>416</v>
      </c>
      <c r="C570" s="40" t="str">
        <f>Input!$C$5</f>
        <v>INR</v>
      </c>
      <c r="D570" s="128">
        <f>D568</f>
        <v>1093629.42423857</v>
      </c>
    </row>
    <row r="571" spans="1:4" x14ac:dyDescent="0.25">
      <c r="A571" s="1">
        <f>A566+1</f>
        <v>4</v>
      </c>
      <c r="B571" s="40" t="s">
        <v>24</v>
      </c>
      <c r="C571" s="40" t="str">
        <f>Input!$C$5</f>
        <v>INR</v>
      </c>
      <c r="D571" s="128">
        <f>D570*D$550</f>
        <v>136703.67802982125</v>
      </c>
    </row>
    <row r="572" spans="1:4" x14ac:dyDescent="0.25">
      <c r="B572" s="40" t="s">
        <v>417</v>
      </c>
      <c r="C572" s="40" t="str">
        <f>Input!$C$5</f>
        <v>INR</v>
      </c>
      <c r="D572" s="128">
        <f>D$553-D571</f>
        <v>106741.59549500051</v>
      </c>
    </row>
    <row r="573" spans="1:4" x14ac:dyDescent="0.25">
      <c r="B573" s="40" t="s">
        <v>418</v>
      </c>
      <c r="C573" s="40" t="str">
        <f>Input!$C$5</f>
        <v>INR</v>
      </c>
      <c r="D573" s="128">
        <f>D570-D572</f>
        <v>986887.82874356955</v>
      </c>
    </row>
    <row r="574" spans="1:4" x14ac:dyDescent="0.25">
      <c r="B574" s="3"/>
      <c r="C574" s="3"/>
      <c r="D574" s="133"/>
    </row>
    <row r="575" spans="1:4" x14ac:dyDescent="0.25">
      <c r="B575" s="40" t="s">
        <v>416</v>
      </c>
      <c r="C575" s="40" t="str">
        <f>Input!$C$5</f>
        <v>INR</v>
      </c>
      <c r="D575" s="128">
        <f>D573</f>
        <v>986887.82874356955</v>
      </c>
    </row>
    <row r="576" spans="1:4" x14ac:dyDescent="0.25">
      <c r="A576" s="1">
        <f>A571+1</f>
        <v>5</v>
      </c>
      <c r="B576" s="40" t="s">
        <v>24</v>
      </c>
      <c r="C576" s="40" t="str">
        <f>Input!$C$5</f>
        <v>INR</v>
      </c>
      <c r="D576" s="128">
        <f>D575*D$550</f>
        <v>123360.97859294619</v>
      </c>
    </row>
    <row r="577" spans="1:4" x14ac:dyDescent="0.25">
      <c r="B577" s="40" t="s">
        <v>417</v>
      </c>
      <c r="C577" s="40" t="str">
        <f>Input!$C$5</f>
        <v>INR</v>
      </c>
      <c r="D577" s="128">
        <f>D$553-D576</f>
        <v>120084.29493187557</v>
      </c>
    </row>
    <row r="578" spans="1:4" x14ac:dyDescent="0.25">
      <c r="B578" s="40" t="s">
        <v>418</v>
      </c>
      <c r="C578" s="40" t="str">
        <f>Input!$C$5</f>
        <v>INR</v>
      </c>
      <c r="D578" s="128">
        <f>D575-D577</f>
        <v>866803.53381169401</v>
      </c>
    </row>
    <row r="579" spans="1:4" x14ac:dyDescent="0.25">
      <c r="B579" s="3"/>
      <c r="C579" s="3"/>
      <c r="D579" s="133"/>
    </row>
    <row r="580" spans="1:4" x14ac:dyDescent="0.25">
      <c r="B580" s="40" t="s">
        <v>416</v>
      </c>
      <c r="C580" s="40" t="str">
        <f>Input!$C$5</f>
        <v>INR</v>
      </c>
      <c r="D580" s="128">
        <f>D578</f>
        <v>866803.53381169401</v>
      </c>
    </row>
    <row r="581" spans="1:4" x14ac:dyDescent="0.25">
      <c r="A581" s="1">
        <f>A576+1</f>
        <v>6</v>
      </c>
      <c r="B581" s="40" t="s">
        <v>24</v>
      </c>
      <c r="C581" s="40" t="str">
        <f>Input!$C$5</f>
        <v>INR</v>
      </c>
      <c r="D581" s="128">
        <f>D580*D$550</f>
        <v>108350.44172646175</v>
      </c>
    </row>
    <row r="582" spans="1:4" x14ac:dyDescent="0.25">
      <c r="B582" s="40" t="s">
        <v>417</v>
      </c>
      <c r="C582" s="40" t="str">
        <f>Input!$C$5</f>
        <v>INR</v>
      </c>
      <c r="D582" s="128">
        <f>D$553-D581</f>
        <v>135094.83179836001</v>
      </c>
    </row>
    <row r="583" spans="1:4" x14ac:dyDescent="0.25">
      <c r="B583" s="40" t="s">
        <v>418</v>
      </c>
      <c r="C583" s="40" t="str">
        <f>Input!$C$5</f>
        <v>INR</v>
      </c>
      <c r="D583" s="128">
        <f>D580-D582</f>
        <v>731708.70201333403</v>
      </c>
    </row>
    <row r="584" spans="1:4" x14ac:dyDescent="0.25">
      <c r="B584" s="3"/>
      <c r="C584" s="3"/>
      <c r="D584" s="133"/>
    </row>
    <row r="585" spans="1:4" x14ac:dyDescent="0.25">
      <c r="B585" s="40" t="s">
        <v>416</v>
      </c>
      <c r="C585" s="40" t="str">
        <f>Input!$C$5</f>
        <v>INR</v>
      </c>
      <c r="D585" s="128">
        <f>D583</f>
        <v>731708.70201333403</v>
      </c>
    </row>
    <row r="586" spans="1:4" x14ac:dyDescent="0.25">
      <c r="A586" s="1">
        <f>A581+1</f>
        <v>7</v>
      </c>
      <c r="B586" s="40" t="s">
        <v>24</v>
      </c>
      <c r="C586" s="40" t="str">
        <f>Input!$C$5</f>
        <v>INR</v>
      </c>
      <c r="D586" s="128">
        <f>D585*D$550</f>
        <v>91463.587751666753</v>
      </c>
    </row>
    <row r="587" spans="1:4" x14ac:dyDescent="0.25">
      <c r="B587" s="40" t="s">
        <v>417</v>
      </c>
      <c r="C587" s="40" t="str">
        <f>Input!$C$5</f>
        <v>INR</v>
      </c>
      <c r="D587" s="128">
        <f>D$553-D586</f>
        <v>151981.68577315501</v>
      </c>
    </row>
    <row r="588" spans="1:4" x14ac:dyDescent="0.25">
      <c r="B588" s="40" t="s">
        <v>418</v>
      </c>
      <c r="C588" s="40" t="str">
        <f>Input!$C$5</f>
        <v>INR</v>
      </c>
      <c r="D588" s="128">
        <f>D585-D587</f>
        <v>579727.01624017907</v>
      </c>
    </row>
    <row r="589" spans="1:4" x14ac:dyDescent="0.25">
      <c r="B589" s="3"/>
    </row>
    <row r="590" spans="1:4" x14ac:dyDescent="0.25">
      <c r="B590" s="40" t="s">
        <v>416</v>
      </c>
      <c r="C590" s="40" t="str">
        <f>Input!$C$5</f>
        <v>INR</v>
      </c>
      <c r="D590" s="128">
        <f>D588</f>
        <v>579727.01624017907</v>
      </c>
    </row>
    <row r="591" spans="1:4" x14ac:dyDescent="0.25">
      <c r="A591" s="1">
        <f>A586+1</f>
        <v>8</v>
      </c>
      <c r="B591" s="40" t="s">
        <v>24</v>
      </c>
      <c r="C591" s="40" t="str">
        <f>Input!$C$5</f>
        <v>INR</v>
      </c>
      <c r="D591" s="128">
        <f>D590*D$550</f>
        <v>72465.877030022384</v>
      </c>
    </row>
    <row r="592" spans="1:4" x14ac:dyDescent="0.25">
      <c r="B592" s="40" t="s">
        <v>417</v>
      </c>
      <c r="C592" s="40" t="str">
        <f>Input!$C$5</f>
        <v>INR</v>
      </c>
      <c r="D592" s="128">
        <f>D$553-D591</f>
        <v>170979.39649479938</v>
      </c>
    </row>
    <row r="593" spans="1:4" x14ac:dyDescent="0.25">
      <c r="B593" s="40" t="s">
        <v>418</v>
      </c>
      <c r="C593" s="40" t="str">
        <f>Input!$C$5</f>
        <v>INR</v>
      </c>
      <c r="D593" s="128">
        <f>D590-D592</f>
        <v>408747.61974537966</v>
      </c>
    </row>
    <row r="594" spans="1:4" x14ac:dyDescent="0.25">
      <c r="B594" s="3"/>
    </row>
    <row r="595" spans="1:4" x14ac:dyDescent="0.25">
      <c r="B595" s="40" t="s">
        <v>416</v>
      </c>
      <c r="C595" s="40" t="str">
        <f>Input!$C$5</f>
        <v>INR</v>
      </c>
      <c r="D595" s="128">
        <f>D593</f>
        <v>408747.61974537966</v>
      </c>
    </row>
    <row r="596" spans="1:4" x14ac:dyDescent="0.25">
      <c r="A596" s="1">
        <f>A591+1</f>
        <v>9</v>
      </c>
      <c r="B596" s="40" t="s">
        <v>24</v>
      </c>
      <c r="C596" s="40" t="str">
        <f>Input!$C$5</f>
        <v>INR</v>
      </c>
      <c r="D596" s="128">
        <f>D595*D$550</f>
        <v>51093.452468172458</v>
      </c>
    </row>
    <row r="597" spans="1:4" x14ac:dyDescent="0.25">
      <c r="B597" s="40" t="s">
        <v>417</v>
      </c>
      <c r="C597" s="40" t="str">
        <f>Input!$C$5</f>
        <v>INR</v>
      </c>
      <c r="D597" s="128">
        <f>D$553-D596</f>
        <v>192351.82105664932</v>
      </c>
    </row>
    <row r="598" spans="1:4" x14ac:dyDescent="0.25">
      <c r="B598" s="40" t="s">
        <v>418</v>
      </c>
      <c r="C598" s="40" t="str">
        <f>Input!$C$5</f>
        <v>INR</v>
      </c>
      <c r="D598" s="128">
        <f>D595-D597</f>
        <v>216395.79868873034</v>
      </c>
    </row>
    <row r="599" spans="1:4" x14ac:dyDescent="0.25">
      <c r="B599" s="3"/>
    </row>
    <row r="600" spans="1:4" x14ac:dyDescent="0.25">
      <c r="B600" s="40" t="s">
        <v>416</v>
      </c>
      <c r="C600" s="40" t="str">
        <f>Input!$C$5</f>
        <v>INR</v>
      </c>
      <c r="D600" s="128">
        <f>D598</f>
        <v>216395.79868873034</v>
      </c>
    </row>
    <row r="601" spans="1:4" x14ac:dyDescent="0.25">
      <c r="A601" s="1">
        <f>A596+1</f>
        <v>10</v>
      </c>
      <c r="B601" s="40" t="s">
        <v>24</v>
      </c>
      <c r="C601" s="40" t="str">
        <f>Input!$C$5</f>
        <v>INR</v>
      </c>
      <c r="D601" s="128">
        <f>D600*D$550</f>
        <v>27049.474836091293</v>
      </c>
    </row>
    <row r="602" spans="1:4" x14ac:dyDescent="0.25">
      <c r="B602" s="40" t="s">
        <v>417</v>
      </c>
      <c r="C602" s="40" t="str">
        <f>Input!$C$5</f>
        <v>INR</v>
      </c>
      <c r="D602" s="128">
        <f>D$553-D601</f>
        <v>216395.79868873046</v>
      </c>
    </row>
    <row r="603" spans="1:4" x14ac:dyDescent="0.25">
      <c r="B603" s="40" t="s">
        <v>418</v>
      </c>
      <c r="C603" s="40" t="str">
        <f>Input!$C$5</f>
        <v>INR</v>
      </c>
      <c r="D603" s="128">
        <f>D600-D602</f>
        <v>0</v>
      </c>
    </row>
    <row r="617" spans="1:1" x14ac:dyDescent="0.25">
      <c r="A617" s="1">
        <v>1</v>
      </c>
    </row>
    <row r="622" spans="1:1" x14ac:dyDescent="0.25">
      <c r="A622" s="1">
        <f>A617+1</f>
        <v>2</v>
      </c>
    </row>
    <row r="627" spans="1:1" x14ac:dyDescent="0.25">
      <c r="A627" s="1">
        <f>A622+1</f>
        <v>3</v>
      </c>
    </row>
    <row r="632" spans="1:1" x14ac:dyDescent="0.25">
      <c r="A632" s="1">
        <f>A627+1</f>
        <v>4</v>
      </c>
    </row>
    <row r="637" spans="1:1" x14ac:dyDescent="0.25">
      <c r="A637" s="1">
        <f>A632+1</f>
        <v>5</v>
      </c>
    </row>
    <row r="642" spans="1:1" x14ac:dyDescent="0.25">
      <c r="A642" s="1">
        <f>A637+1</f>
        <v>6</v>
      </c>
    </row>
    <row r="647" spans="1:1" x14ac:dyDescent="0.25">
      <c r="A647" s="1">
        <f>A642+1</f>
        <v>7</v>
      </c>
    </row>
    <row r="652" spans="1:1" x14ac:dyDescent="0.25">
      <c r="A652" s="1">
        <f>A647+1</f>
        <v>8</v>
      </c>
    </row>
    <row r="657" spans="1:1" x14ac:dyDescent="0.25">
      <c r="A657" s="1">
        <f>A652+1</f>
        <v>9</v>
      </c>
    </row>
    <row r="662" spans="1:1" x14ac:dyDescent="0.25">
      <c r="A662" s="1">
        <f>A657+1</f>
        <v>10</v>
      </c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458E4-2C70-47BB-B10D-9EF1D0F98AB2}">
  <dimension ref="A1:X45"/>
  <sheetViews>
    <sheetView topLeftCell="A7" workbookViewId="0">
      <pane xSplit="3" ySplit="4" topLeftCell="D11" activePane="bottomRight" state="frozen"/>
      <selection activeCell="A7" sqref="A7"/>
      <selection pane="topRight" activeCell="D7" sqref="D7"/>
      <selection pane="bottomLeft" activeCell="A11" sqref="A11"/>
      <selection pane="bottomRight" activeCell="E15" sqref="E15"/>
    </sheetView>
  </sheetViews>
  <sheetFormatPr defaultColWidth="8.7109375" defaultRowHeight="12" x14ac:dyDescent="0.25"/>
  <cols>
    <col min="1" max="1" width="13.42578125" customWidth="1"/>
    <col min="2" max="2" width="17.7109375" customWidth="1"/>
    <col min="3" max="17" width="15.7109375" customWidth="1"/>
    <col min="18" max="19" width="11.85546875" customWidth="1"/>
    <col min="20" max="20" width="12.42578125" customWidth="1"/>
    <col min="21" max="21" width="13.28515625" customWidth="1"/>
  </cols>
  <sheetData>
    <row r="1" spans="1:24" hidden="1" x14ac:dyDescent="0.25">
      <c r="A1" s="93"/>
      <c r="B1" s="93"/>
      <c r="C1" s="93"/>
      <c r="D1" s="221" t="s">
        <v>519</v>
      </c>
      <c r="E1" s="221"/>
      <c r="F1" s="221"/>
      <c r="G1" s="94" t="s">
        <v>520</v>
      </c>
      <c r="H1" s="222" t="s">
        <v>521</v>
      </c>
      <c r="I1" s="222"/>
      <c r="J1" s="222"/>
      <c r="K1" s="222"/>
    </row>
    <row r="2" spans="1:24" ht="24" hidden="1" x14ac:dyDescent="0.25">
      <c r="A2" s="95" t="s">
        <v>45</v>
      </c>
      <c r="B2" s="95" t="s">
        <v>522</v>
      </c>
      <c r="C2" s="95" t="s">
        <v>47</v>
      </c>
      <c r="D2" s="96" t="s">
        <v>523</v>
      </c>
      <c r="E2" s="96" t="s">
        <v>524</v>
      </c>
      <c r="F2" s="96" t="s">
        <v>525</v>
      </c>
      <c r="G2" s="97" t="s">
        <v>526</v>
      </c>
      <c r="H2" s="98" t="s">
        <v>527</v>
      </c>
      <c r="I2" s="98"/>
      <c r="J2" s="98" t="s">
        <v>528</v>
      </c>
      <c r="K2" s="98" t="s">
        <v>529</v>
      </c>
      <c r="L2" s="99" t="s">
        <v>530</v>
      </c>
      <c r="M2" s="99" t="s">
        <v>531</v>
      </c>
      <c r="N2" s="99" t="s">
        <v>532</v>
      </c>
    </row>
    <row r="3" spans="1:24" hidden="1" x14ac:dyDescent="0.25">
      <c r="A3" t="s">
        <v>46</v>
      </c>
      <c r="B3" t="s">
        <v>533</v>
      </c>
      <c r="C3" t="s">
        <v>534</v>
      </c>
    </row>
    <row r="4" spans="1:24" hidden="1" x14ac:dyDescent="0.25">
      <c r="A4" t="s">
        <v>535</v>
      </c>
      <c r="B4" t="s">
        <v>536</v>
      </c>
      <c r="C4" t="s">
        <v>537</v>
      </c>
    </row>
    <row r="5" spans="1:24" hidden="1" x14ac:dyDescent="0.25">
      <c r="A5" t="s">
        <v>538</v>
      </c>
      <c r="B5" t="s">
        <v>539</v>
      </c>
      <c r="C5" t="s">
        <v>540</v>
      </c>
    </row>
    <row r="6" spans="1:24" hidden="1" x14ac:dyDescent="0.25">
      <c r="F6" s="90"/>
      <c r="W6" t="s">
        <v>541</v>
      </c>
      <c r="X6">
        <v>15000</v>
      </c>
    </row>
    <row r="7" spans="1:24" x14ac:dyDescent="0.25">
      <c r="F7" s="90"/>
    </row>
    <row r="8" spans="1:24" x14ac:dyDescent="0.25">
      <c r="F8" s="90"/>
    </row>
    <row r="9" spans="1:24" ht="24" x14ac:dyDescent="0.25">
      <c r="A9" s="92"/>
      <c r="B9" s="92"/>
      <c r="C9" s="92"/>
      <c r="D9" s="11" t="s">
        <v>542</v>
      </c>
      <c r="E9" s="223" t="s">
        <v>101</v>
      </c>
      <c r="F9" s="223"/>
      <c r="G9" s="223"/>
      <c r="H9" s="92"/>
      <c r="I9" s="92"/>
      <c r="J9" s="11" t="s">
        <v>543</v>
      </c>
      <c r="K9" s="11" t="s">
        <v>543</v>
      </c>
      <c r="L9" s="11" t="s">
        <v>543</v>
      </c>
      <c r="M9" s="92"/>
      <c r="N9" s="92"/>
      <c r="O9" s="101" t="s">
        <v>528</v>
      </c>
      <c r="P9" s="101" t="s">
        <v>529</v>
      </c>
      <c r="Q9" s="101"/>
      <c r="R9" s="101"/>
      <c r="S9" s="101"/>
      <c r="T9" s="101"/>
      <c r="U9" s="101"/>
      <c r="W9" t="s">
        <v>544</v>
      </c>
      <c r="X9">
        <v>300</v>
      </c>
    </row>
    <row r="10" spans="1:24" s="34" customFormat="1" ht="24" x14ac:dyDescent="0.25">
      <c r="A10" s="100" t="s">
        <v>45</v>
      </c>
      <c r="B10" s="100" t="s">
        <v>522</v>
      </c>
      <c r="C10" s="100" t="s">
        <v>47</v>
      </c>
      <c r="D10" s="100" t="s">
        <v>17</v>
      </c>
      <c r="E10" s="100" t="s">
        <v>102</v>
      </c>
      <c r="F10" s="100" t="s">
        <v>103</v>
      </c>
      <c r="G10" s="100" t="s">
        <v>104</v>
      </c>
      <c r="H10" s="100" t="s">
        <v>23</v>
      </c>
      <c r="I10" s="100" t="s">
        <v>112</v>
      </c>
      <c r="J10" s="100" t="s">
        <v>114</v>
      </c>
      <c r="K10" s="100" t="s">
        <v>116</v>
      </c>
      <c r="L10" s="100" t="s">
        <v>117</v>
      </c>
      <c r="M10" s="101" t="s">
        <v>121</v>
      </c>
      <c r="N10" s="101" t="s">
        <v>122</v>
      </c>
      <c r="O10" s="101" t="s">
        <v>135</v>
      </c>
      <c r="P10" s="101" t="s">
        <v>136</v>
      </c>
      <c r="Q10" s="101" t="s">
        <v>58</v>
      </c>
      <c r="R10" s="101" t="s">
        <v>59</v>
      </c>
      <c r="S10" s="101" t="s">
        <v>60</v>
      </c>
      <c r="T10" s="101" t="s">
        <v>62</v>
      </c>
      <c r="U10" s="101" t="s">
        <v>63</v>
      </c>
      <c r="W10" s="34">
        <f>X6/X9</f>
        <v>50</v>
      </c>
    </row>
    <row r="11" spans="1:24" x14ac:dyDescent="0.25">
      <c r="A11" s="59" t="s">
        <v>556</v>
      </c>
      <c r="B11" s="59" t="s">
        <v>557</v>
      </c>
      <c r="C11" s="59" t="s">
        <v>558</v>
      </c>
      <c r="D11" s="108">
        <v>129.15</v>
      </c>
      <c r="E11" s="59"/>
      <c r="F11" s="59"/>
      <c r="G11" s="59"/>
      <c r="H11" s="143">
        <v>0.1</v>
      </c>
      <c r="I11" s="143">
        <v>0.02</v>
      </c>
      <c r="J11" s="59"/>
      <c r="K11" s="59"/>
      <c r="L11" s="59"/>
      <c r="M11" s="59"/>
      <c r="N11" s="59"/>
      <c r="O11" s="104">
        <v>1684.16</v>
      </c>
      <c r="P11" s="198">
        <v>1451.24</v>
      </c>
      <c r="Q11" s="202"/>
      <c r="R11" s="59"/>
      <c r="S11" s="59"/>
      <c r="T11" s="59"/>
      <c r="U11" s="59"/>
    </row>
    <row r="12" spans="1:24" x14ac:dyDescent="0.25">
      <c r="A12" s="59" t="s">
        <v>548</v>
      </c>
      <c r="B12" s="59" t="s">
        <v>549</v>
      </c>
      <c r="C12" s="59" t="s">
        <v>550</v>
      </c>
      <c r="D12" s="108">
        <v>0.65700000000000003</v>
      </c>
      <c r="E12" s="59"/>
      <c r="F12" s="59"/>
      <c r="G12" s="59"/>
      <c r="H12" s="143">
        <v>0.1</v>
      </c>
      <c r="I12" s="143">
        <v>0.04</v>
      </c>
      <c r="J12" s="59"/>
      <c r="K12" s="59"/>
      <c r="L12" s="59"/>
      <c r="M12" s="59"/>
      <c r="N12" s="59"/>
      <c r="O12" s="104">
        <v>6.23</v>
      </c>
      <c r="P12" s="198">
        <v>5.37</v>
      </c>
      <c r="Q12" s="59"/>
      <c r="R12" s="59"/>
      <c r="S12" s="59"/>
      <c r="T12" s="59"/>
      <c r="U12" s="59"/>
    </row>
    <row r="13" spans="1:24" ht="14.4" x14ac:dyDescent="0.3">
      <c r="A13" s="59" t="s">
        <v>538</v>
      </c>
      <c r="B13" s="59" t="s">
        <v>539</v>
      </c>
      <c r="C13" s="59" t="s">
        <v>540</v>
      </c>
      <c r="D13" s="108">
        <v>0.79400000000000004</v>
      </c>
      <c r="E13" s="104">
        <f>140000*140%</f>
        <v>196000</v>
      </c>
      <c r="F13" s="104">
        <f>260000*140%</f>
        <v>364000</v>
      </c>
      <c r="G13" s="104">
        <f>400000*140%</f>
        <v>560000</v>
      </c>
      <c r="H13" s="201">
        <v>0.1</v>
      </c>
      <c r="I13" s="201">
        <v>0.1</v>
      </c>
      <c r="J13" s="104">
        <f>150*O13</f>
        <v>1228.5</v>
      </c>
      <c r="K13" s="104">
        <f>129*O13</f>
        <v>1056.51</v>
      </c>
      <c r="L13" s="104">
        <f>372*O13</f>
        <v>3046.68</v>
      </c>
      <c r="M13" s="105">
        <v>4.9000000000000002E-2</v>
      </c>
      <c r="N13" s="105">
        <v>0.03</v>
      </c>
      <c r="O13" s="104">
        <v>8.19</v>
      </c>
      <c r="P13" s="195">
        <v>7.11</v>
      </c>
      <c r="Q13" s="202">
        <f>Q14*$O$13</f>
        <v>65.52</v>
      </c>
      <c r="R13" s="59">
        <f t="shared" ref="R13:U13" si="0">R14*$O$13</f>
        <v>40.949999999999996</v>
      </c>
      <c r="S13" s="59">
        <f t="shared" si="0"/>
        <v>73.709999999999994</v>
      </c>
      <c r="T13" s="59">
        <f t="shared" si="0"/>
        <v>16.38</v>
      </c>
      <c r="U13" s="59">
        <f t="shared" si="0"/>
        <v>16.38</v>
      </c>
    </row>
    <row r="14" spans="1:24" ht="14.4" x14ac:dyDescent="0.3">
      <c r="A14" s="59" t="s">
        <v>570</v>
      </c>
      <c r="B14" s="59" t="s">
        <v>566</v>
      </c>
      <c r="C14" s="59" t="s">
        <v>451</v>
      </c>
      <c r="D14" s="108">
        <v>0.153</v>
      </c>
      <c r="E14" s="59"/>
      <c r="F14" s="59"/>
      <c r="G14" s="59"/>
      <c r="H14" s="201">
        <v>0.1</v>
      </c>
      <c r="I14" s="201">
        <v>0.1</v>
      </c>
      <c r="J14" s="59"/>
      <c r="K14" s="59"/>
      <c r="L14" s="59"/>
      <c r="M14" s="59"/>
      <c r="N14" s="59"/>
      <c r="O14" s="104">
        <v>1</v>
      </c>
      <c r="P14" s="195">
        <v>0.86</v>
      </c>
      <c r="Q14" s="59">
        <v>8</v>
      </c>
      <c r="R14" s="59">
        <v>5</v>
      </c>
      <c r="S14" s="59">
        <v>9</v>
      </c>
      <c r="T14" s="59">
        <v>2</v>
      </c>
      <c r="U14" s="59">
        <v>2</v>
      </c>
    </row>
    <row r="15" spans="1:24" ht="14.4" x14ac:dyDescent="0.3">
      <c r="A15" s="59" t="s">
        <v>565</v>
      </c>
      <c r="B15" s="59" t="s">
        <v>566</v>
      </c>
      <c r="C15" s="59" t="s">
        <v>451</v>
      </c>
      <c r="D15" s="108">
        <v>0.251</v>
      </c>
      <c r="E15" s="59"/>
      <c r="F15" s="59"/>
      <c r="G15" s="59"/>
      <c r="H15" s="201">
        <v>0.1</v>
      </c>
      <c r="I15" s="201">
        <v>0.1</v>
      </c>
      <c r="J15" s="59"/>
      <c r="K15" s="59"/>
      <c r="L15" s="59"/>
      <c r="M15" s="59"/>
      <c r="N15" s="59"/>
      <c r="O15" s="104">
        <v>1</v>
      </c>
      <c r="P15" s="195">
        <v>0.86</v>
      </c>
      <c r="Q15" s="59">
        <f>Q14</f>
        <v>8</v>
      </c>
      <c r="R15" s="59">
        <f t="shared" ref="R15:U15" si="1">R14</f>
        <v>5</v>
      </c>
      <c r="S15" s="59">
        <f t="shared" si="1"/>
        <v>9</v>
      </c>
      <c r="T15" s="59">
        <f t="shared" si="1"/>
        <v>2</v>
      </c>
      <c r="U15" s="59">
        <f t="shared" si="1"/>
        <v>2</v>
      </c>
    </row>
    <row r="16" spans="1:24" x14ac:dyDescent="0.25">
      <c r="A16" s="59" t="s">
        <v>567</v>
      </c>
      <c r="B16" s="59" t="s">
        <v>568</v>
      </c>
      <c r="C16" s="59" t="s">
        <v>569</v>
      </c>
      <c r="D16" s="108">
        <v>92.17</v>
      </c>
      <c r="E16" s="59"/>
      <c r="F16" s="59"/>
      <c r="G16" s="59"/>
      <c r="H16" s="143">
        <v>0.02</v>
      </c>
      <c r="I16" s="105">
        <v>0.14499999999999999</v>
      </c>
      <c r="J16" s="59"/>
      <c r="K16" s="59"/>
      <c r="L16" s="59"/>
      <c r="M16" s="59"/>
      <c r="N16" s="59"/>
      <c r="O16" s="104">
        <v>381.2</v>
      </c>
      <c r="P16" s="195">
        <v>328.47</v>
      </c>
      <c r="Q16" s="59"/>
      <c r="R16" s="59"/>
      <c r="S16" s="59"/>
      <c r="T16" s="59"/>
      <c r="U16" s="59"/>
    </row>
    <row r="17" spans="1:21" x14ac:dyDescent="0.25">
      <c r="A17" s="59" t="s">
        <v>577</v>
      </c>
      <c r="B17" s="59" t="s">
        <v>578</v>
      </c>
      <c r="C17" s="59" t="s">
        <v>541</v>
      </c>
      <c r="D17" s="104">
        <v>10.72</v>
      </c>
      <c r="E17" s="104">
        <f>430000*126%</f>
        <v>541800</v>
      </c>
      <c r="F17" s="104">
        <f>1000000*126%</f>
        <v>1260000</v>
      </c>
      <c r="G17" s="104">
        <f>1500000*126%</f>
        <v>1890000</v>
      </c>
      <c r="H17" s="143">
        <v>0.15</v>
      </c>
      <c r="I17" s="143">
        <v>0.1</v>
      </c>
      <c r="J17" s="104">
        <v>14833.58</v>
      </c>
      <c r="K17" s="106">
        <v>36681.160000000003</v>
      </c>
      <c r="L17" s="106">
        <v>1560.6</v>
      </c>
      <c r="M17" s="105">
        <v>0.125</v>
      </c>
      <c r="N17" s="105">
        <v>0.14000000000000001</v>
      </c>
      <c r="O17" s="104">
        <v>104.27</v>
      </c>
      <c r="P17" s="195">
        <v>87</v>
      </c>
      <c r="Q17" s="196">
        <f>$Q$14*$O17</f>
        <v>834.16</v>
      </c>
      <c r="R17" s="196">
        <f>$R$14*$O17</f>
        <v>521.35</v>
      </c>
      <c r="S17" s="196">
        <f>$S$14*$O17</f>
        <v>938.43</v>
      </c>
      <c r="T17" s="196">
        <f>$T$14*$O17</f>
        <v>208.54</v>
      </c>
      <c r="U17" s="196">
        <f>$U$14*$O17</f>
        <v>208.54</v>
      </c>
    </row>
    <row r="18" spans="1:21" x14ac:dyDescent="0.25">
      <c r="A18" s="59" t="s">
        <v>553</v>
      </c>
      <c r="B18" s="59" t="s">
        <v>554</v>
      </c>
      <c r="C18" s="59" t="s">
        <v>555</v>
      </c>
      <c r="D18" s="104">
        <v>1114.74</v>
      </c>
      <c r="E18" s="59"/>
      <c r="F18" s="59"/>
      <c r="G18" s="59"/>
      <c r="H18" s="143">
        <v>0.25</v>
      </c>
      <c r="I18" s="143">
        <v>0.1</v>
      </c>
      <c r="J18" s="59"/>
      <c r="K18" s="59"/>
      <c r="L18" s="59"/>
      <c r="M18" s="59"/>
      <c r="N18" s="59"/>
      <c r="O18" s="104">
        <v>19314.2</v>
      </c>
      <c r="P18" s="195">
        <v>16665.3</v>
      </c>
      <c r="Q18" s="196">
        <f>$Q$14*$O18</f>
        <v>154513.60000000001</v>
      </c>
      <c r="R18" s="196">
        <f>$R$14*$O18</f>
        <v>96571</v>
      </c>
      <c r="S18" s="196">
        <f>$S$14*$O18</f>
        <v>173827.80000000002</v>
      </c>
      <c r="T18" s="196">
        <f>$T$14*$O18</f>
        <v>38628.400000000001</v>
      </c>
      <c r="U18" s="196">
        <f>$U$14*$O18</f>
        <v>38628.400000000001</v>
      </c>
    </row>
    <row r="19" spans="1:21" x14ac:dyDescent="0.25">
      <c r="A19" s="59" t="s">
        <v>574</v>
      </c>
      <c r="B19" s="59" t="s">
        <v>575</v>
      </c>
      <c r="C19" s="59" t="s">
        <v>576</v>
      </c>
      <c r="D19" s="108">
        <v>3.972</v>
      </c>
      <c r="E19" s="59"/>
      <c r="F19" s="59"/>
      <c r="G19" s="59"/>
      <c r="H19" s="143">
        <v>0.1</v>
      </c>
      <c r="I19" s="143">
        <v>0.05</v>
      </c>
      <c r="J19" s="59"/>
      <c r="K19" s="59"/>
      <c r="L19" s="59"/>
      <c r="M19" s="59"/>
      <c r="N19" s="59"/>
      <c r="O19" s="104">
        <v>21.26</v>
      </c>
      <c r="P19" s="195">
        <v>18.32</v>
      </c>
      <c r="Q19" s="59"/>
      <c r="R19" s="59"/>
      <c r="S19" s="59"/>
      <c r="T19" s="59"/>
      <c r="U19" s="59"/>
    </row>
    <row r="20" spans="1:21" x14ac:dyDescent="0.25">
      <c r="A20" s="59" t="s">
        <v>562</v>
      </c>
      <c r="B20" s="59" t="s">
        <v>563</v>
      </c>
      <c r="C20" s="59" t="s">
        <v>564</v>
      </c>
      <c r="D20" s="108">
        <v>41.99</v>
      </c>
      <c r="E20" s="59"/>
      <c r="F20" s="59"/>
      <c r="G20" s="59"/>
      <c r="H20" s="143">
        <v>0.15</v>
      </c>
      <c r="I20" s="143">
        <v>0.1</v>
      </c>
      <c r="J20" s="59"/>
      <c r="K20" s="59"/>
      <c r="L20" s="59"/>
      <c r="M20" s="59"/>
      <c r="N20" s="59"/>
      <c r="O20" s="104">
        <v>328.52</v>
      </c>
      <c r="P20" s="195">
        <v>282.99</v>
      </c>
      <c r="Q20" s="59"/>
      <c r="R20" s="59"/>
      <c r="S20" s="59"/>
      <c r="T20" s="59"/>
      <c r="U20" s="59"/>
    </row>
    <row r="21" spans="1:21" ht="14.4" x14ac:dyDescent="0.3">
      <c r="A21" s="59" t="s">
        <v>535</v>
      </c>
      <c r="B21" s="59" t="s">
        <v>536</v>
      </c>
      <c r="C21" s="59" t="s">
        <v>537</v>
      </c>
      <c r="D21" s="108">
        <v>8.8469999999999995</v>
      </c>
      <c r="E21" s="104">
        <f>192000*126.5%</f>
        <v>242879.99999999997</v>
      </c>
      <c r="F21" s="104">
        <f>374285*126.5%</f>
        <v>473470.52499999997</v>
      </c>
      <c r="G21" s="104">
        <f>425429*126.5%</f>
        <v>538167.68499999994</v>
      </c>
      <c r="H21" s="201">
        <v>0.1</v>
      </c>
      <c r="I21" s="201">
        <v>0.1</v>
      </c>
      <c r="J21" s="104">
        <v>16240</v>
      </c>
      <c r="K21" s="104">
        <v>20000</v>
      </c>
      <c r="L21" s="104">
        <v>3240</v>
      </c>
      <c r="M21" s="105">
        <v>0.1</v>
      </c>
      <c r="N21" s="105">
        <v>8.6300000000000002E-2</v>
      </c>
      <c r="O21" s="104">
        <v>67.87</v>
      </c>
      <c r="P21" s="195">
        <v>58.89</v>
      </c>
      <c r="Q21" s="196">
        <f>$Q$14*$O21</f>
        <v>542.96</v>
      </c>
      <c r="R21" s="196">
        <f>$R$14*$O21</f>
        <v>339.35</v>
      </c>
      <c r="S21" s="196">
        <f>$S$14*$O21</f>
        <v>610.83000000000004</v>
      </c>
      <c r="T21" s="196">
        <f>$T$14*$O21</f>
        <v>135.74</v>
      </c>
      <c r="U21" s="196">
        <f>$U$14*$O21</f>
        <v>135.74</v>
      </c>
    </row>
    <row r="22" spans="1:21" x14ac:dyDescent="0.25">
      <c r="A22" s="59" t="s">
        <v>571</v>
      </c>
      <c r="B22" s="59" t="s">
        <v>572</v>
      </c>
      <c r="C22" s="59" t="s">
        <v>573</v>
      </c>
      <c r="D22" s="108">
        <v>1.7949999999999999</v>
      </c>
      <c r="E22" s="59"/>
      <c r="F22" s="59"/>
      <c r="G22" s="59"/>
      <c r="H22" s="143">
        <v>0.2</v>
      </c>
      <c r="I22" s="143">
        <v>0.05</v>
      </c>
      <c r="J22" s="59"/>
      <c r="K22" s="59"/>
      <c r="L22" s="59"/>
      <c r="M22" s="59"/>
      <c r="N22" s="59"/>
      <c r="O22" s="104">
        <v>19.88</v>
      </c>
      <c r="P22" s="195">
        <v>17.13</v>
      </c>
      <c r="Q22" s="59"/>
      <c r="R22" s="59"/>
      <c r="S22" s="59"/>
      <c r="T22" s="59"/>
      <c r="U22" s="59"/>
    </row>
    <row r="23" spans="1:21" ht="14.4" x14ac:dyDescent="0.3">
      <c r="A23" s="59" t="s">
        <v>559</v>
      </c>
      <c r="B23" s="59" t="s">
        <v>560</v>
      </c>
      <c r="C23" s="59" t="s">
        <v>561</v>
      </c>
      <c r="D23" s="108">
        <v>4.3499999999999996</v>
      </c>
      <c r="E23" s="59"/>
      <c r="F23" s="59"/>
      <c r="G23" s="59"/>
      <c r="H23" s="201">
        <v>0.1</v>
      </c>
      <c r="I23" s="201">
        <v>0.1</v>
      </c>
      <c r="J23" s="59"/>
      <c r="K23" s="59"/>
      <c r="L23" s="59"/>
      <c r="M23" s="59"/>
      <c r="N23" s="59"/>
      <c r="O23" s="104">
        <v>49.29</v>
      </c>
      <c r="P23" s="195">
        <v>42.43</v>
      </c>
      <c r="Q23" s="59"/>
      <c r="R23" s="59"/>
      <c r="S23" s="59"/>
      <c r="T23" s="59"/>
      <c r="U23" s="59"/>
    </row>
    <row r="24" spans="1:21" x14ac:dyDescent="0.25">
      <c r="A24" s="59" t="s">
        <v>545</v>
      </c>
      <c r="B24" s="59" t="s">
        <v>546</v>
      </c>
      <c r="C24" s="59" t="s">
        <v>547</v>
      </c>
      <c r="D24" s="108">
        <v>0.34599999999999997</v>
      </c>
      <c r="E24" s="107">
        <v>30000</v>
      </c>
      <c r="F24" s="107">
        <v>43000</v>
      </c>
      <c r="G24" s="107">
        <v>50000</v>
      </c>
      <c r="H24" s="143">
        <v>0.18</v>
      </c>
      <c r="I24" s="143">
        <v>0.03</v>
      </c>
      <c r="J24" s="59"/>
      <c r="K24" s="59"/>
      <c r="L24" s="59"/>
      <c r="M24" s="59"/>
      <c r="N24" s="59"/>
      <c r="O24" s="104">
        <v>0.88</v>
      </c>
      <c r="P24" s="195">
        <v>0.76</v>
      </c>
      <c r="Q24" s="59"/>
      <c r="R24" s="59"/>
      <c r="S24" s="59"/>
      <c r="T24" s="59"/>
      <c r="U24" s="59"/>
    </row>
    <row r="25" spans="1:21" ht="14.4" x14ac:dyDescent="0.3">
      <c r="A25" s="110" t="s">
        <v>551</v>
      </c>
      <c r="B25" s="110" t="s">
        <v>552</v>
      </c>
      <c r="C25" s="110" t="s">
        <v>136</v>
      </c>
      <c r="D25" s="111">
        <v>0.14899999999999999</v>
      </c>
      <c r="E25" s="112">
        <v>70179</v>
      </c>
      <c r="F25" s="112">
        <v>93567</v>
      </c>
      <c r="G25" s="112">
        <v>83661</v>
      </c>
      <c r="H25" s="201">
        <v>0.1</v>
      </c>
      <c r="I25" s="201">
        <v>0.1</v>
      </c>
      <c r="J25" s="110"/>
      <c r="K25" s="110"/>
      <c r="L25" s="110"/>
      <c r="M25" s="110"/>
      <c r="N25" s="110"/>
      <c r="O25" s="199">
        <v>1.1599999999999999</v>
      </c>
      <c r="P25" s="200">
        <v>1</v>
      </c>
      <c r="Q25" s="59"/>
      <c r="R25" s="59"/>
      <c r="S25" s="59"/>
      <c r="T25" s="59"/>
      <c r="U25" s="59"/>
    </row>
    <row r="26" spans="1:21" ht="14.4" x14ac:dyDescent="0.3">
      <c r="A26" s="59" t="s">
        <v>46</v>
      </c>
      <c r="B26" s="59" t="s">
        <v>533</v>
      </c>
      <c r="C26" s="59" t="s">
        <v>534</v>
      </c>
      <c r="D26" s="104">
        <v>1744</v>
      </c>
      <c r="E26" s="104">
        <f>105600000*132.5%</f>
        <v>139920000</v>
      </c>
      <c r="F26" s="104">
        <f>624273326*132.5%</f>
        <v>827162156.94999993</v>
      </c>
      <c r="G26" s="104">
        <f>695648877*132.5%</f>
        <v>921734762.02499998</v>
      </c>
      <c r="H26" s="201">
        <v>0.1</v>
      </c>
      <c r="I26" s="201">
        <v>0.1</v>
      </c>
      <c r="J26" s="104">
        <f>118*O26</f>
        <v>3586051.86</v>
      </c>
      <c r="K26" s="106">
        <f>112*O26</f>
        <v>3403710.24</v>
      </c>
      <c r="L26" s="106">
        <f>180*O26</f>
        <v>5470248.5999999996</v>
      </c>
      <c r="M26" s="105">
        <v>5.8999999999999997E-2</v>
      </c>
      <c r="N26" s="105">
        <v>6.2E-2</v>
      </c>
      <c r="O26" s="104">
        <v>30390.27</v>
      </c>
      <c r="P26" s="195">
        <v>26369</v>
      </c>
      <c r="Q26" s="196">
        <f>$Q$14*$O26</f>
        <v>243122.16</v>
      </c>
      <c r="R26" s="196">
        <f>$R$14*$O26</f>
        <v>151951.35</v>
      </c>
      <c r="S26" s="196">
        <f>$S$14*$O26</f>
        <v>273512.43</v>
      </c>
      <c r="T26" s="196">
        <f>$T$14*$O26</f>
        <v>60780.54</v>
      </c>
      <c r="U26" s="196">
        <f>$U$14*$O26</f>
        <v>60780.54</v>
      </c>
    </row>
    <row r="27" spans="1:21" x14ac:dyDescent="0.25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</row>
    <row r="28" spans="1:21" x14ac:dyDescent="0.25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</row>
    <row r="29" spans="1:21" x14ac:dyDescent="0.25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</row>
    <row r="30" spans="1:21" x14ac:dyDescent="0.25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</row>
    <row r="31" spans="1:21" x14ac:dyDescent="0.25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</row>
    <row r="32" spans="1:21" x14ac:dyDescent="0.25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</row>
    <row r="33" spans="1:16" x14ac:dyDescent="0.25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</row>
    <row r="34" spans="1:16" x14ac:dyDescent="0.25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</row>
    <row r="35" spans="1:1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</row>
    <row r="36" spans="1:16" x14ac:dyDescent="0.25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</row>
    <row r="37" spans="1:16" x14ac:dyDescent="0.25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</row>
    <row r="38" spans="1:16" x14ac:dyDescent="0.25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</row>
    <row r="39" spans="1:16" x14ac:dyDescent="0.25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</row>
    <row r="40" spans="1:16" x14ac:dyDescent="0.25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</row>
    <row r="41" spans="1:16" x14ac:dyDescent="0.25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</row>
    <row r="42" spans="1:16" x14ac:dyDescent="0.25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</row>
    <row r="43" spans="1:16" x14ac:dyDescent="0.25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</row>
    <row r="44" spans="1:16" x14ac:dyDescent="0.25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</row>
    <row r="45" spans="1:16" x14ac:dyDescent="0.25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</row>
  </sheetData>
  <mergeCells count="3">
    <mergeCell ref="D1:F1"/>
    <mergeCell ref="H1:K1"/>
    <mergeCell ref="E9:G9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FABF6-5240-4E4F-A4BE-731D076EF291}">
  <dimension ref="B2:R157"/>
  <sheetViews>
    <sheetView topLeftCell="A2" workbookViewId="0">
      <selection activeCell="C5" sqref="C5"/>
    </sheetView>
  </sheetViews>
  <sheetFormatPr defaultColWidth="15.7109375" defaultRowHeight="12" x14ac:dyDescent="0.25"/>
  <cols>
    <col min="1" max="1" width="2.7109375" customWidth="1"/>
    <col min="2" max="2" width="25.7109375" customWidth="1"/>
    <col min="3" max="3" width="34.85546875" customWidth="1"/>
    <col min="4" max="4" width="14.140625" customWidth="1"/>
    <col min="5" max="6" width="19.140625" customWidth="1"/>
    <col min="7" max="7" width="17.7109375" customWidth="1"/>
    <col min="8" max="10" width="16.42578125" customWidth="1"/>
    <col min="11" max="11" width="27.140625" bestFit="1" customWidth="1"/>
    <col min="12" max="12" width="12.7109375" customWidth="1"/>
    <col min="14" max="14" width="16.42578125" customWidth="1"/>
  </cols>
  <sheetData>
    <row r="2" spans="2:4" x14ac:dyDescent="0.25">
      <c r="B2" s="12" t="s">
        <v>422</v>
      </c>
    </row>
    <row r="3" spans="2:4" x14ac:dyDescent="0.25">
      <c r="B3" s="11" t="s">
        <v>1</v>
      </c>
      <c r="C3" s="13" t="str">
        <f>Input!C4</f>
        <v>India</v>
      </c>
      <c r="D3" s="11" t="s">
        <v>423</v>
      </c>
    </row>
    <row r="4" spans="2:4" x14ac:dyDescent="0.25">
      <c r="B4" s="3" t="s">
        <v>424</v>
      </c>
      <c r="C4" s="8">
        <f>SUMPRODUCT(H20:H60,I20:I60)</f>
        <v>5.9918915719696972</v>
      </c>
      <c r="D4" s="3" t="s">
        <v>425</v>
      </c>
    </row>
    <row r="5" spans="2:4" x14ac:dyDescent="0.25">
      <c r="B5" s="3" t="s">
        <v>426</v>
      </c>
      <c r="C5" s="8">
        <f>Conversion!D277</f>
        <v>26.435272015655578</v>
      </c>
      <c r="D5" s="3" t="s">
        <v>427</v>
      </c>
    </row>
    <row r="6" spans="2:4" x14ac:dyDescent="0.25">
      <c r="B6" s="3" t="s">
        <v>428</v>
      </c>
      <c r="C6" s="8">
        <f>Conversion!D293</f>
        <v>0.72184791983764585</v>
      </c>
      <c r="D6" s="3" t="s">
        <v>429</v>
      </c>
    </row>
    <row r="7" spans="2:4" x14ac:dyDescent="0.25">
      <c r="B7" s="3" t="s">
        <v>584</v>
      </c>
      <c r="C7" s="8">
        <f>C4*15%</f>
        <v>0.89878373579545456</v>
      </c>
      <c r="D7" s="3" t="s">
        <v>585</v>
      </c>
    </row>
    <row r="8" spans="2:4" x14ac:dyDescent="0.25">
      <c r="B8" s="3" t="s">
        <v>430</v>
      </c>
      <c r="C8" s="8">
        <f>C4*1%</f>
        <v>5.9918915719696972E-2</v>
      </c>
      <c r="D8" s="3" t="s">
        <v>431</v>
      </c>
    </row>
    <row r="9" spans="2:4" x14ac:dyDescent="0.25">
      <c r="B9" s="3" t="s">
        <v>432</v>
      </c>
      <c r="C9" s="8">
        <f>C4*5%</f>
        <v>0.29959457859848487</v>
      </c>
      <c r="D9" s="3" t="s">
        <v>433</v>
      </c>
    </row>
    <row r="10" spans="2:4" x14ac:dyDescent="0.25">
      <c r="B10" s="3" t="s">
        <v>434</v>
      </c>
      <c r="C10" s="8">
        <f>C4*2%</f>
        <v>0.11983783143939394</v>
      </c>
      <c r="D10" s="3" t="s">
        <v>435</v>
      </c>
    </row>
    <row r="11" spans="2:4" x14ac:dyDescent="0.25">
      <c r="B11" s="3" t="s">
        <v>436</v>
      </c>
      <c r="C11" s="8">
        <f>C4*2%</f>
        <v>0.11983783143939394</v>
      </c>
      <c r="D11" s="3" t="s">
        <v>437</v>
      </c>
    </row>
    <row r="12" spans="2:4" x14ac:dyDescent="0.25">
      <c r="B12" s="3" t="s">
        <v>438</v>
      </c>
      <c r="C12" s="8">
        <f>C4*10%</f>
        <v>0.59918915719696975</v>
      </c>
      <c r="D12" s="3" t="s">
        <v>439</v>
      </c>
    </row>
    <row r="13" spans="2:4" x14ac:dyDescent="0.25">
      <c r="B13" s="3" t="s">
        <v>440</v>
      </c>
      <c r="C13" s="8">
        <f>C4*25%</f>
        <v>1.4979728929924243</v>
      </c>
      <c r="D13" s="3"/>
    </row>
    <row r="14" spans="2:4" x14ac:dyDescent="0.25">
      <c r="B14" s="4" t="s">
        <v>441</v>
      </c>
      <c r="C14" s="14">
        <f>SUM(C4:C13)</f>
        <v>36.744146450644728</v>
      </c>
      <c r="D14" s="3"/>
    </row>
    <row r="15" spans="2:4" x14ac:dyDescent="0.25">
      <c r="B15" s="4" t="s">
        <v>442</v>
      </c>
      <c r="C15" s="15">
        <v>0.7</v>
      </c>
      <c r="D15" s="3"/>
    </row>
    <row r="16" spans="2:4" x14ac:dyDescent="0.25">
      <c r="B16" s="4" t="s">
        <v>348</v>
      </c>
      <c r="C16" s="14">
        <f>C14/C15</f>
        <v>52.49163778663533</v>
      </c>
      <c r="D16" s="3"/>
    </row>
    <row r="17" spans="2:16" x14ac:dyDescent="0.25">
      <c r="B17" s="12"/>
      <c r="C17" s="12"/>
    </row>
    <row r="18" spans="2:16" x14ac:dyDescent="0.25">
      <c r="B18" s="115" t="s">
        <v>443</v>
      </c>
      <c r="C18" s="116"/>
      <c r="D18" s="116"/>
      <c r="E18" s="116"/>
      <c r="F18" s="116"/>
      <c r="G18" s="116"/>
      <c r="H18" s="116"/>
      <c r="I18" s="116"/>
      <c r="J18" s="116"/>
      <c r="P18" s="12"/>
    </row>
    <row r="19" spans="2:16" ht="24" x14ac:dyDescent="0.25">
      <c r="B19" s="100" t="s">
        <v>1</v>
      </c>
      <c r="C19" s="117" t="s">
        <v>200</v>
      </c>
      <c r="D19" s="117" t="s">
        <v>444</v>
      </c>
      <c r="E19" s="118" t="s">
        <v>445</v>
      </c>
      <c r="F19" s="118" t="s">
        <v>446</v>
      </c>
      <c r="G19" s="118" t="s">
        <v>447</v>
      </c>
      <c r="H19" s="118" t="s">
        <v>448</v>
      </c>
      <c r="I19" s="118" t="s">
        <v>449</v>
      </c>
      <c r="J19" s="118" t="s">
        <v>373</v>
      </c>
    </row>
    <row r="20" spans="2:16" x14ac:dyDescent="0.25">
      <c r="B20" s="3" t="s">
        <v>34</v>
      </c>
      <c r="C20" s="8" t="s">
        <v>201</v>
      </c>
      <c r="D20" s="8">
        <f>8*10^5</f>
        <v>800000</v>
      </c>
      <c r="E20" s="8">
        <v>12000</v>
      </c>
      <c r="F20" s="8">
        <v>150</v>
      </c>
      <c r="G20" s="8">
        <f>Conversion!$D$86</f>
        <v>47.322395833333331</v>
      </c>
      <c r="H20" s="56">
        <f>IFERROR(HLOOKUP($C20,Conversion!$D$11:$D$87,ROWS(Conversion!$C$11:$C$87),0),0)</f>
        <v>5.9750499789562291E-3</v>
      </c>
      <c r="I20" s="8">
        <v>250</v>
      </c>
      <c r="J20" s="8">
        <f>H20*I20</f>
        <v>1.4937624947390573</v>
      </c>
      <c r="K20" s="33"/>
      <c r="L20" s="35"/>
      <c r="M20" s="35"/>
      <c r="N20" s="35"/>
      <c r="O20" s="35"/>
    </row>
    <row r="21" spans="2:16" x14ac:dyDescent="0.25">
      <c r="B21" s="3" t="s">
        <v>34</v>
      </c>
      <c r="C21" s="8" t="s">
        <v>587</v>
      </c>
      <c r="D21" s="8">
        <v>200000</v>
      </c>
      <c r="E21" s="8">
        <v>8000</v>
      </c>
      <c r="F21" s="8">
        <v>150</v>
      </c>
      <c r="G21" s="8">
        <f>Conversion!$D$86</f>
        <v>47.322395833333331</v>
      </c>
      <c r="H21" s="56">
        <f>IFERROR(HLOOKUP($C21,Conversion!$D$11:$D$87,ROWS(Conversion!$C$11:$C$87),0),0)</f>
        <v>0</v>
      </c>
      <c r="I21" s="8">
        <v>250</v>
      </c>
      <c r="J21" s="8">
        <f t="shared" ref="J21:J28" si="0">H21*I21</f>
        <v>0</v>
      </c>
      <c r="K21" s="33"/>
      <c r="L21" s="35"/>
      <c r="M21" s="35"/>
      <c r="N21" s="35"/>
      <c r="O21" s="35"/>
    </row>
    <row r="22" spans="2:16" x14ac:dyDescent="0.25">
      <c r="B22" s="3" t="s">
        <v>34</v>
      </c>
      <c r="C22" s="8" t="s">
        <v>588</v>
      </c>
      <c r="D22" s="8">
        <v>350000</v>
      </c>
      <c r="E22" s="8">
        <v>12000</v>
      </c>
      <c r="F22" s="8">
        <v>150</v>
      </c>
      <c r="G22" s="8">
        <f>Conversion!$D$86</f>
        <v>47.322395833333331</v>
      </c>
      <c r="H22" s="56">
        <f>IFERROR(HLOOKUP($C22,Conversion!$D$11:$D$87,ROWS(Conversion!$C$11:$C$87),0),0)</f>
        <v>0</v>
      </c>
      <c r="I22" s="8">
        <v>250</v>
      </c>
      <c r="J22" s="8">
        <f t="shared" si="0"/>
        <v>0</v>
      </c>
      <c r="K22" s="33"/>
      <c r="L22" s="35"/>
      <c r="M22" s="35"/>
      <c r="N22" s="35"/>
      <c r="O22" s="35"/>
    </row>
    <row r="23" spans="2:16" x14ac:dyDescent="0.25">
      <c r="B23" s="3" t="s">
        <v>34</v>
      </c>
      <c r="C23" s="8" t="s">
        <v>589</v>
      </c>
      <c r="D23" s="8">
        <v>800000</v>
      </c>
      <c r="E23" s="8">
        <v>14000</v>
      </c>
      <c r="F23" s="8">
        <v>150</v>
      </c>
      <c r="G23" s="8">
        <f>Conversion!$D$86</f>
        <v>47.322395833333331</v>
      </c>
      <c r="H23" s="56">
        <f>IFERROR(HLOOKUP($C23,Conversion!$D$11:$D$87,ROWS(Conversion!$C$11:$C$87),0),0)</f>
        <v>0</v>
      </c>
      <c r="I23" s="8">
        <v>250</v>
      </c>
      <c r="J23" s="8">
        <f t="shared" si="0"/>
        <v>0</v>
      </c>
      <c r="K23" s="33"/>
      <c r="L23" s="35"/>
      <c r="M23" s="35"/>
      <c r="N23" s="35"/>
      <c r="O23" s="35"/>
    </row>
    <row r="24" spans="2:16" x14ac:dyDescent="0.25">
      <c r="B24" s="3" t="s">
        <v>34</v>
      </c>
      <c r="C24" s="8" t="s">
        <v>590</v>
      </c>
      <c r="D24" s="8">
        <v>400000</v>
      </c>
      <c r="E24" s="8">
        <v>10000</v>
      </c>
      <c r="F24" s="8">
        <v>150</v>
      </c>
      <c r="G24" s="8">
        <f>Conversion!$D$86</f>
        <v>47.322395833333331</v>
      </c>
      <c r="H24" s="56">
        <f>IFERROR(HLOOKUP($C24,Conversion!$D$11:$D$87,ROWS(Conversion!$C$11:$C$87),0),0)</f>
        <v>0</v>
      </c>
      <c r="I24" s="8">
        <v>250</v>
      </c>
      <c r="J24" s="8">
        <f t="shared" si="0"/>
        <v>0</v>
      </c>
      <c r="K24" s="33"/>
      <c r="L24" s="35"/>
      <c r="M24" s="35"/>
      <c r="N24" s="35"/>
      <c r="O24" s="35"/>
    </row>
    <row r="25" spans="2:16" x14ac:dyDescent="0.25">
      <c r="B25" s="3" t="s">
        <v>34</v>
      </c>
      <c r="C25" s="8" t="s">
        <v>591</v>
      </c>
      <c r="D25" s="8">
        <v>750000</v>
      </c>
      <c r="E25" s="8">
        <v>12000</v>
      </c>
      <c r="F25" s="8">
        <v>150</v>
      </c>
      <c r="G25" s="8">
        <f>Conversion!$D$86</f>
        <v>47.322395833333331</v>
      </c>
      <c r="H25" s="56">
        <f>IFERROR(HLOOKUP($C25,Conversion!$D$11:$D$87,ROWS(Conversion!$C$11:$C$87),0),0)</f>
        <v>0</v>
      </c>
      <c r="I25" s="8">
        <v>250</v>
      </c>
      <c r="J25" s="8">
        <f t="shared" si="0"/>
        <v>0</v>
      </c>
      <c r="K25" s="33"/>
      <c r="L25" s="35"/>
      <c r="M25" s="35"/>
      <c r="N25" s="35"/>
      <c r="O25" s="35"/>
    </row>
    <row r="26" spans="2:16" x14ac:dyDescent="0.25">
      <c r="B26" s="3" t="s">
        <v>34</v>
      </c>
      <c r="C26" s="8" t="s">
        <v>592</v>
      </c>
      <c r="D26" s="8">
        <v>600000</v>
      </c>
      <c r="E26" s="8">
        <v>12000</v>
      </c>
      <c r="F26" s="8">
        <v>150</v>
      </c>
      <c r="G26" s="8">
        <f>Conversion!$D$86</f>
        <v>47.322395833333331</v>
      </c>
      <c r="H26" s="56">
        <f>IFERROR(HLOOKUP($C26,Conversion!$D$11:$D$87,ROWS(Conversion!$C$11:$C$87),0),0)</f>
        <v>0</v>
      </c>
      <c r="I26" s="8">
        <v>250</v>
      </c>
      <c r="J26" s="8">
        <f t="shared" si="0"/>
        <v>0</v>
      </c>
      <c r="K26" s="33"/>
      <c r="L26" s="35"/>
      <c r="M26" s="35"/>
      <c r="N26" s="35"/>
      <c r="O26" s="35"/>
    </row>
    <row r="27" spans="2:16" x14ac:dyDescent="0.25">
      <c r="B27" s="3" t="s">
        <v>34</v>
      </c>
      <c r="C27" s="8" t="s">
        <v>593</v>
      </c>
      <c r="D27" s="8">
        <v>300000</v>
      </c>
      <c r="E27" s="8">
        <v>8000</v>
      </c>
      <c r="F27" s="8">
        <v>150</v>
      </c>
      <c r="G27" s="8">
        <f>Conversion!$D$86</f>
        <v>47.322395833333331</v>
      </c>
      <c r="H27" s="56">
        <f>IFERROR(HLOOKUP($C27,Conversion!$D$11:$D$87,ROWS(Conversion!$C$11:$C$87),0),0)</f>
        <v>0</v>
      </c>
      <c r="I27" s="8">
        <v>250</v>
      </c>
      <c r="J27" s="8">
        <f t="shared" si="0"/>
        <v>0</v>
      </c>
      <c r="K27" s="33"/>
      <c r="L27" s="35"/>
      <c r="M27" s="35"/>
      <c r="N27" s="35"/>
      <c r="O27" s="35"/>
    </row>
    <row r="28" spans="2:16" ht="13.5" customHeight="1" x14ac:dyDescent="0.25">
      <c r="B28" s="3" t="s">
        <v>34</v>
      </c>
      <c r="C28" s="8" t="s">
        <v>594</v>
      </c>
      <c r="D28" s="8">
        <v>800000</v>
      </c>
      <c r="E28" s="8">
        <v>15000</v>
      </c>
      <c r="F28" s="8">
        <v>150</v>
      </c>
      <c r="G28" s="8">
        <f>Conversion!$D$86</f>
        <v>47.322395833333331</v>
      </c>
      <c r="H28" s="56">
        <f>IFERROR(HLOOKUP($C28,Conversion!$D$11:$D$87,ROWS(Conversion!$C$11:$C$87),0),0)</f>
        <v>0</v>
      </c>
      <c r="I28" s="8">
        <v>250</v>
      </c>
      <c r="J28" s="8">
        <f t="shared" si="0"/>
        <v>0</v>
      </c>
      <c r="K28" s="33"/>
      <c r="L28" s="224"/>
      <c r="M28" s="224"/>
      <c r="N28" s="35"/>
      <c r="O28" s="35"/>
    </row>
    <row r="29" spans="2:16" x14ac:dyDescent="0.25">
      <c r="B29" s="3" t="s">
        <v>34</v>
      </c>
      <c r="C29" s="8" t="s">
        <v>595</v>
      </c>
      <c r="D29" s="8"/>
      <c r="E29" s="8"/>
      <c r="F29" s="8"/>
      <c r="G29" s="8"/>
      <c r="H29" s="56"/>
      <c r="I29" s="8"/>
      <c r="J29" s="8"/>
      <c r="K29" s="33"/>
      <c r="L29" s="37"/>
    </row>
    <row r="30" spans="2:16" x14ac:dyDescent="0.25">
      <c r="B30" s="3"/>
      <c r="C30" s="8"/>
      <c r="D30" s="8"/>
      <c r="E30" s="8"/>
      <c r="F30" s="8"/>
      <c r="G30" s="8"/>
      <c r="H30" s="56"/>
      <c r="I30" s="8"/>
      <c r="J30" s="8"/>
      <c r="K30" s="33"/>
      <c r="L30" s="37"/>
    </row>
    <row r="31" spans="2:16" x14ac:dyDescent="0.25">
      <c r="B31" s="3" t="s">
        <v>89</v>
      </c>
      <c r="C31" s="8" t="s">
        <v>279</v>
      </c>
      <c r="D31" s="8">
        <v>120000</v>
      </c>
      <c r="E31" s="8">
        <v>5000</v>
      </c>
      <c r="F31" s="8">
        <v>20</v>
      </c>
      <c r="G31" s="8">
        <f>Conversion!$D$110</f>
        <v>0</v>
      </c>
      <c r="H31" s="56">
        <f>IFERROR(HLOOKUP($C31,Conversion!$D$99:$D$111,ROWS(Conversion!$C$99:$C$111),0),0)</f>
        <v>0</v>
      </c>
      <c r="I31" s="8">
        <v>50</v>
      </c>
      <c r="J31" s="8">
        <f t="shared" ref="J31:J58" si="1">H31*I31</f>
        <v>0</v>
      </c>
    </row>
    <row r="32" spans="2:16" x14ac:dyDescent="0.25">
      <c r="B32" s="3" t="s">
        <v>89</v>
      </c>
      <c r="C32" s="8" t="s">
        <v>596</v>
      </c>
      <c r="D32" s="8">
        <v>500000</v>
      </c>
      <c r="E32" s="8">
        <v>4000</v>
      </c>
      <c r="F32" s="8">
        <v>20</v>
      </c>
      <c r="G32" s="8">
        <f>Conversion!$D$110</f>
        <v>0</v>
      </c>
      <c r="H32" s="56">
        <f>IFERROR(HLOOKUP($C32,Conversion!$D$99:$D$111,ROWS(Conversion!$C$99:$C$111),0),0)</f>
        <v>0</v>
      </c>
      <c r="I32" s="8">
        <v>50</v>
      </c>
      <c r="J32" s="8">
        <f t="shared" si="1"/>
        <v>0</v>
      </c>
    </row>
    <row r="33" spans="2:15" x14ac:dyDescent="0.25">
      <c r="B33" s="3" t="s">
        <v>89</v>
      </c>
      <c r="C33" s="8" t="s">
        <v>597</v>
      </c>
      <c r="D33" s="8">
        <v>500000</v>
      </c>
      <c r="E33" s="8">
        <v>4000</v>
      </c>
      <c r="F33" s="8">
        <v>20</v>
      </c>
      <c r="G33" s="8">
        <f>Conversion!$D$110</f>
        <v>0</v>
      </c>
      <c r="H33" s="56">
        <f>IFERROR(HLOOKUP($C33,Conversion!$D$99:$D$111,ROWS(Conversion!$C$99:$C$111),0),0)</f>
        <v>0</v>
      </c>
      <c r="I33" s="8">
        <v>50</v>
      </c>
      <c r="J33" s="8">
        <f t="shared" si="1"/>
        <v>0</v>
      </c>
    </row>
    <row r="34" spans="2:15" x14ac:dyDescent="0.25">
      <c r="B34" s="3" t="s">
        <v>89</v>
      </c>
      <c r="C34" s="8" t="s">
        <v>598</v>
      </c>
      <c r="D34" s="8">
        <v>150000</v>
      </c>
      <c r="E34" s="8">
        <v>8000</v>
      </c>
      <c r="F34" s="8">
        <v>20</v>
      </c>
      <c r="G34" s="8">
        <f>Conversion!$D$110</f>
        <v>0</v>
      </c>
      <c r="H34" s="56">
        <f>IFERROR(HLOOKUP($C34,Conversion!$D$99:$D$111,ROWS(Conversion!$C$99:$C$111),0),0)</f>
        <v>0</v>
      </c>
      <c r="I34" s="8">
        <v>50</v>
      </c>
      <c r="J34" s="8">
        <f t="shared" si="1"/>
        <v>0</v>
      </c>
    </row>
    <row r="35" spans="2:15" x14ac:dyDescent="0.25">
      <c r="B35" s="3" t="s">
        <v>89</v>
      </c>
      <c r="C35" s="8" t="s">
        <v>599</v>
      </c>
      <c r="D35" s="8">
        <v>100000</v>
      </c>
      <c r="E35" s="8">
        <v>8000</v>
      </c>
      <c r="F35" s="8">
        <v>20</v>
      </c>
      <c r="G35" s="8">
        <f>Conversion!$D$110</f>
        <v>0</v>
      </c>
      <c r="H35" s="56">
        <f>IFERROR(HLOOKUP($C35,Conversion!$D$99:$D$111,ROWS(Conversion!$C$99:$C$111),0),0)</f>
        <v>0</v>
      </c>
      <c r="I35" s="8">
        <v>50</v>
      </c>
      <c r="J35" s="8">
        <f t="shared" si="1"/>
        <v>0</v>
      </c>
    </row>
    <row r="36" spans="2:15" x14ac:dyDescent="0.25">
      <c r="B36" s="3" t="s">
        <v>89</v>
      </c>
      <c r="C36" s="8" t="s">
        <v>600</v>
      </c>
      <c r="D36" s="123" t="s">
        <v>602</v>
      </c>
      <c r="E36" s="8">
        <v>8000</v>
      </c>
      <c r="F36" s="8">
        <v>20</v>
      </c>
      <c r="G36" s="8">
        <f>Conversion!$D$110</f>
        <v>0</v>
      </c>
      <c r="H36" s="56">
        <f>IFERROR(HLOOKUP($C36,Conversion!$D$99:$D$111,ROWS(Conversion!$C$99:$C$111),0),0)</f>
        <v>0</v>
      </c>
      <c r="I36" s="8">
        <v>50</v>
      </c>
      <c r="J36" s="8">
        <f t="shared" si="1"/>
        <v>0</v>
      </c>
    </row>
    <row r="37" spans="2:15" x14ac:dyDescent="0.25">
      <c r="B37" s="3" t="s">
        <v>89</v>
      </c>
      <c r="C37" s="8" t="s">
        <v>601</v>
      </c>
      <c r="D37" s="8">
        <v>250000</v>
      </c>
      <c r="E37" s="8">
        <f>E20*70%</f>
        <v>8400</v>
      </c>
      <c r="F37" s="8">
        <v>20</v>
      </c>
      <c r="G37" s="8">
        <f>Conversion!$D$110</f>
        <v>0</v>
      </c>
      <c r="H37" s="56">
        <f>IFERROR(HLOOKUP($C37,Conversion!$D$99:$D$111,ROWS(Conversion!$C$99:$C$111),0),0)</f>
        <v>0</v>
      </c>
      <c r="I37" s="8">
        <v>50</v>
      </c>
      <c r="J37" s="8">
        <f t="shared" si="1"/>
        <v>0</v>
      </c>
    </row>
    <row r="38" spans="2:15" x14ac:dyDescent="0.25">
      <c r="B38" s="3"/>
      <c r="C38" s="8"/>
      <c r="D38" s="8"/>
      <c r="E38" s="8"/>
      <c r="F38" s="8"/>
      <c r="G38" s="8"/>
      <c r="H38" s="56"/>
      <c r="I38" s="8"/>
      <c r="J38" s="8"/>
    </row>
    <row r="39" spans="2:15" x14ac:dyDescent="0.25">
      <c r="B39" s="3" t="s">
        <v>94</v>
      </c>
      <c r="C39" s="8" t="s">
        <v>280</v>
      </c>
      <c r="D39" s="8">
        <v>250000</v>
      </c>
      <c r="E39" s="8">
        <v>5000</v>
      </c>
      <c r="F39" s="8">
        <v>50</v>
      </c>
      <c r="G39" s="8">
        <f>Conversion!D125</f>
        <v>0</v>
      </c>
      <c r="H39" s="56">
        <f>IFERROR(HLOOKUP($C39,Conversion!$D$114:$D$126,ROWS(Conversion!$C$114:$C$126),0),0)</f>
        <v>0</v>
      </c>
      <c r="I39" s="8">
        <v>100</v>
      </c>
      <c r="J39" s="8">
        <f t="shared" si="1"/>
        <v>0</v>
      </c>
      <c r="K39" s="33"/>
      <c r="L39" s="37"/>
    </row>
    <row r="40" spans="2:15" x14ac:dyDescent="0.25">
      <c r="B40" s="3"/>
      <c r="C40" s="8"/>
      <c r="D40" s="8"/>
      <c r="E40" s="8"/>
      <c r="F40" s="8"/>
      <c r="G40" s="8"/>
      <c r="H40" s="56"/>
      <c r="I40" s="8"/>
      <c r="J40" s="8"/>
      <c r="K40" s="33"/>
      <c r="L40" s="37"/>
    </row>
    <row r="41" spans="2:15" x14ac:dyDescent="0.25">
      <c r="B41" s="3" t="s">
        <v>36</v>
      </c>
      <c r="C41" s="8" t="s">
        <v>281</v>
      </c>
      <c r="D41" s="8">
        <v>65000</v>
      </c>
      <c r="E41" s="8">
        <v>5000</v>
      </c>
      <c r="F41" s="8">
        <v>50</v>
      </c>
      <c r="G41" s="8">
        <f>Conversion!$D$145</f>
        <v>0</v>
      </c>
      <c r="H41" s="56">
        <f>IFERROR(HLOOKUP($C41,Conversion!$D$135:$D$146,ROWS(Conversion!$C$135:$C$146),0),0)</f>
        <v>0</v>
      </c>
      <c r="I41" s="8">
        <v>50</v>
      </c>
      <c r="J41" s="8">
        <f t="shared" si="1"/>
        <v>0</v>
      </c>
    </row>
    <row r="42" spans="2:15" x14ac:dyDescent="0.25">
      <c r="B42" s="3" t="s">
        <v>36</v>
      </c>
      <c r="C42" s="8" t="s">
        <v>603</v>
      </c>
      <c r="D42" s="8">
        <v>150000</v>
      </c>
      <c r="E42" s="8">
        <v>3529.4117647058824</v>
      </c>
      <c r="F42" s="8">
        <v>20</v>
      </c>
      <c r="G42" s="8">
        <f>Conversion!$D$145</f>
        <v>0</v>
      </c>
      <c r="H42" s="56">
        <f>IFERROR(HLOOKUP($C42,Conversion!$D$135:$D$146,ROWS(Conversion!$C$135:$C$146),0),0)</f>
        <v>0</v>
      </c>
      <c r="I42" s="8">
        <v>50</v>
      </c>
      <c r="J42" s="8">
        <f t="shared" si="1"/>
        <v>0</v>
      </c>
      <c r="L42" s="35"/>
      <c r="M42" s="35"/>
      <c r="N42" s="35"/>
      <c r="O42" s="124"/>
    </row>
    <row r="43" spans="2:15" x14ac:dyDescent="0.25">
      <c r="B43" s="3" t="s">
        <v>36</v>
      </c>
      <c r="C43" s="8" t="s">
        <v>604</v>
      </c>
      <c r="D43" s="8">
        <v>450000</v>
      </c>
      <c r="E43" s="8">
        <v>7058.8235294117649</v>
      </c>
      <c r="F43" s="8">
        <v>60</v>
      </c>
      <c r="G43" s="8">
        <f>Conversion!$D$145</f>
        <v>0</v>
      </c>
      <c r="H43" s="56">
        <f>IFERROR(HLOOKUP($C43,Conversion!$D$135:$D$146,ROWS(Conversion!$C$135:$C$146),0),0)</f>
        <v>0</v>
      </c>
      <c r="I43" s="8">
        <v>50</v>
      </c>
      <c r="J43" s="8">
        <f t="shared" si="1"/>
        <v>0</v>
      </c>
      <c r="L43" s="35"/>
      <c r="M43" s="35"/>
      <c r="N43" s="35"/>
      <c r="O43" s="124"/>
    </row>
    <row r="44" spans="2:15" x14ac:dyDescent="0.25">
      <c r="B44" s="3" t="s">
        <v>36</v>
      </c>
      <c r="C44" s="8" t="s">
        <v>605</v>
      </c>
      <c r="D44" s="8">
        <v>600000</v>
      </c>
      <c r="E44" s="8">
        <v>9411.7647058823532</v>
      </c>
      <c r="F44" s="8">
        <v>70</v>
      </c>
      <c r="G44" s="8">
        <f>Conversion!$D$145</f>
        <v>0</v>
      </c>
      <c r="H44" s="56">
        <f>IFERROR(HLOOKUP($C44,Conversion!$D$135:$D$146,ROWS(Conversion!$C$135:$C$146),0),0)</f>
        <v>0</v>
      </c>
      <c r="I44" s="8">
        <v>50</v>
      </c>
      <c r="J44" s="8">
        <f t="shared" si="1"/>
        <v>0</v>
      </c>
      <c r="L44" s="35"/>
      <c r="M44" s="35"/>
      <c r="N44" s="35"/>
      <c r="O44" s="124"/>
    </row>
    <row r="45" spans="2:15" x14ac:dyDescent="0.25">
      <c r="B45" s="3" t="s">
        <v>36</v>
      </c>
      <c r="C45" s="8" t="s">
        <v>606</v>
      </c>
      <c r="D45" s="8">
        <v>450000</v>
      </c>
      <c r="E45" s="8">
        <v>8235.2941176470595</v>
      </c>
      <c r="F45" s="8">
        <v>50</v>
      </c>
      <c r="G45" s="8">
        <f>Conversion!$D$145</f>
        <v>0</v>
      </c>
      <c r="H45" s="56">
        <f>IFERROR(HLOOKUP($C45,Conversion!$D$135:$D$146,ROWS(Conversion!$C$135:$C$146),0),0)</f>
        <v>0</v>
      </c>
      <c r="I45" s="8">
        <v>50</v>
      </c>
      <c r="J45" s="8">
        <f t="shared" si="1"/>
        <v>0</v>
      </c>
      <c r="L45" s="35"/>
      <c r="M45" s="35"/>
      <c r="N45" s="35"/>
      <c r="O45" s="124"/>
    </row>
    <row r="46" spans="2:15" x14ac:dyDescent="0.25">
      <c r="B46" s="3" t="s">
        <v>36</v>
      </c>
      <c r="C46" s="8" t="s">
        <v>607</v>
      </c>
      <c r="D46" s="8">
        <v>400000</v>
      </c>
      <c r="E46" s="8">
        <v>5294.1176470588234</v>
      </c>
      <c r="F46" s="8">
        <v>45</v>
      </c>
      <c r="G46" s="8">
        <f>Conversion!$D$145</f>
        <v>0</v>
      </c>
      <c r="H46" s="56">
        <f>IFERROR(HLOOKUP($C46,Conversion!$D$135:$D$146,ROWS(Conversion!$C$135:$C$146),0),0)</f>
        <v>0</v>
      </c>
      <c r="I46" s="8">
        <v>50</v>
      </c>
      <c r="J46" s="8">
        <f t="shared" si="1"/>
        <v>0</v>
      </c>
      <c r="L46" s="35"/>
      <c r="M46" s="35"/>
      <c r="N46" s="35"/>
      <c r="O46" s="124"/>
    </row>
    <row r="47" spans="2:15" x14ac:dyDescent="0.25">
      <c r="B47" s="3" t="s">
        <v>36</v>
      </c>
      <c r="C47" s="8" t="s">
        <v>608</v>
      </c>
      <c r="D47" s="8">
        <v>90000</v>
      </c>
      <c r="E47" s="8">
        <v>5294.1176470588234</v>
      </c>
      <c r="F47" s="8">
        <v>30</v>
      </c>
      <c r="G47" s="8">
        <f>Conversion!$D$145</f>
        <v>0</v>
      </c>
      <c r="H47" s="56">
        <f>IFERROR(HLOOKUP($C47,Conversion!$D$135:$D$146,ROWS(Conversion!$C$135:$C$146),0),0)</f>
        <v>0</v>
      </c>
      <c r="I47" s="8">
        <v>50</v>
      </c>
      <c r="J47" s="8">
        <f t="shared" si="1"/>
        <v>0</v>
      </c>
      <c r="L47" s="35"/>
      <c r="M47" s="35"/>
      <c r="N47" s="35"/>
      <c r="O47" s="35"/>
    </row>
    <row r="48" spans="2:15" x14ac:dyDescent="0.25">
      <c r="B48" s="3" t="s">
        <v>36</v>
      </c>
      <c r="C48" s="8" t="s">
        <v>609</v>
      </c>
      <c r="D48" s="8">
        <v>150000</v>
      </c>
      <c r="E48" s="8">
        <v>7058.8235294117649</v>
      </c>
      <c r="F48" s="8">
        <v>55</v>
      </c>
      <c r="G48" s="8">
        <f>Conversion!$D$145</f>
        <v>0</v>
      </c>
      <c r="H48" s="56">
        <f>IFERROR(HLOOKUP($C48,Conversion!$D$135:$D$146,ROWS(Conversion!$C$135:$C$146),0),0)</f>
        <v>0</v>
      </c>
      <c r="I48" s="8">
        <v>50</v>
      </c>
      <c r="J48" s="8">
        <f t="shared" si="1"/>
        <v>0</v>
      </c>
      <c r="L48" s="35"/>
      <c r="M48" s="124"/>
      <c r="N48" s="124"/>
      <c r="O48" s="124"/>
    </row>
    <row r="49" spans="2:18" x14ac:dyDescent="0.25">
      <c r="B49" s="3" t="s">
        <v>36</v>
      </c>
      <c r="C49" s="8" t="s">
        <v>610</v>
      </c>
      <c r="D49" s="8">
        <v>100000</v>
      </c>
      <c r="E49" s="8">
        <v>4705.8823529411766</v>
      </c>
      <c r="F49" s="8">
        <v>40</v>
      </c>
      <c r="G49" s="8">
        <f>Conversion!$D$145</f>
        <v>0</v>
      </c>
      <c r="H49" s="56">
        <f>IFERROR(HLOOKUP($C49,Conversion!$D$135:$D$146,ROWS(Conversion!$C$135:$C$146),0),0)</f>
        <v>0</v>
      </c>
      <c r="I49" s="8">
        <v>50</v>
      </c>
      <c r="J49" s="8">
        <f t="shared" si="1"/>
        <v>0</v>
      </c>
      <c r="L49" s="35"/>
      <c r="M49" s="35"/>
      <c r="N49" s="35"/>
      <c r="O49" s="124"/>
    </row>
    <row r="50" spans="2:18" x14ac:dyDescent="0.25">
      <c r="B50" s="3" t="s">
        <v>36</v>
      </c>
      <c r="C50" s="8" t="s">
        <v>611</v>
      </c>
      <c r="D50" s="8">
        <v>80000</v>
      </c>
      <c r="E50" s="8">
        <v>5882.3529411764703</v>
      </c>
      <c r="F50" s="8">
        <v>35</v>
      </c>
      <c r="G50" s="8">
        <f>Conversion!$D$145</f>
        <v>0</v>
      </c>
      <c r="H50" s="56">
        <f>IFERROR(HLOOKUP($C50,Conversion!$D$135:$D$146,ROWS(Conversion!$C$135:$C$146),0),0)</f>
        <v>0</v>
      </c>
      <c r="I50" s="8">
        <v>50</v>
      </c>
      <c r="J50" s="8">
        <f t="shared" si="1"/>
        <v>0</v>
      </c>
      <c r="L50" s="35"/>
      <c r="M50" s="35"/>
      <c r="N50" s="35"/>
      <c r="O50" s="124"/>
    </row>
    <row r="51" spans="2:18" x14ac:dyDescent="0.25">
      <c r="B51" s="3" t="s">
        <v>36</v>
      </c>
      <c r="C51" s="8" t="s">
        <v>612</v>
      </c>
      <c r="D51" s="8">
        <v>30000</v>
      </c>
      <c r="E51" s="8">
        <v>2941.1764705882351</v>
      </c>
      <c r="F51" s="8">
        <v>20</v>
      </c>
      <c r="G51" s="8">
        <f>Conversion!$D$145</f>
        <v>0</v>
      </c>
      <c r="H51" s="56">
        <f>IFERROR(HLOOKUP($C51,Conversion!$D$135:$D$146,ROWS(Conversion!$C$135:$C$146),0),0)</f>
        <v>0</v>
      </c>
      <c r="I51" s="8">
        <v>50</v>
      </c>
      <c r="J51" s="8">
        <f t="shared" si="1"/>
        <v>0</v>
      </c>
      <c r="L51" s="35"/>
      <c r="M51" s="35"/>
      <c r="N51" s="35"/>
      <c r="O51" s="124"/>
    </row>
    <row r="52" spans="2:18" x14ac:dyDescent="0.25">
      <c r="B52" s="3"/>
      <c r="C52" s="8"/>
      <c r="D52" s="8"/>
      <c r="E52" s="8"/>
      <c r="F52" s="8"/>
      <c r="G52" s="8"/>
      <c r="H52" s="56"/>
      <c r="I52" s="8"/>
      <c r="J52" s="8"/>
      <c r="L52" s="35"/>
      <c r="M52" s="35"/>
      <c r="N52" s="35"/>
      <c r="O52" s="124"/>
    </row>
    <row r="53" spans="2:18" x14ac:dyDescent="0.25">
      <c r="B53" s="3" t="s">
        <v>270</v>
      </c>
      <c r="C53" s="8" t="s">
        <v>282</v>
      </c>
      <c r="D53" s="8">
        <v>700000</v>
      </c>
      <c r="E53" s="8">
        <v>7500</v>
      </c>
      <c r="F53" s="8">
        <v>50</v>
      </c>
      <c r="G53" s="8">
        <f>Conversion!$D$173</f>
        <v>59.928333333333327</v>
      </c>
      <c r="H53" s="56">
        <f>IFERROR(HLOOKUP($C53,Conversion!$D$163:$D$174,ROWS(Conversion!$C$163:$C$174),0),0)</f>
        <v>7.5667087542087537E-3</v>
      </c>
      <c r="I53" s="8">
        <v>250</v>
      </c>
      <c r="J53" s="8">
        <f t="shared" si="1"/>
        <v>1.8916771885521884</v>
      </c>
      <c r="K53" s="33"/>
      <c r="L53" s="35"/>
      <c r="M53" s="35"/>
      <c r="N53" s="35"/>
      <c r="O53" s="124"/>
    </row>
    <row r="54" spans="2:18" x14ac:dyDescent="0.25">
      <c r="B54" s="3" t="s">
        <v>270</v>
      </c>
      <c r="C54" s="8" t="s">
        <v>613</v>
      </c>
      <c r="D54" s="8">
        <v>150000</v>
      </c>
      <c r="E54" s="8">
        <v>6000</v>
      </c>
      <c r="F54" s="8">
        <v>50</v>
      </c>
      <c r="G54" s="8">
        <f>Conversion!$D$173</f>
        <v>59.928333333333327</v>
      </c>
      <c r="H54" s="56">
        <f>IFERROR(HLOOKUP($C54,Conversion!$D$163:$D$174,ROWS(Conversion!$C$163:$C$174),0),0)</f>
        <v>0</v>
      </c>
      <c r="I54" s="8">
        <v>250</v>
      </c>
      <c r="J54" s="8">
        <f t="shared" si="1"/>
        <v>0</v>
      </c>
      <c r="K54" s="33"/>
      <c r="L54" s="35"/>
      <c r="M54" s="35"/>
      <c r="N54" s="35"/>
      <c r="O54" s="124"/>
    </row>
    <row r="55" spans="2:18" x14ac:dyDescent="0.25">
      <c r="B55" s="3"/>
      <c r="C55" s="8"/>
      <c r="D55" s="8"/>
      <c r="E55" s="8"/>
      <c r="F55" s="8"/>
      <c r="G55" s="8"/>
      <c r="H55" s="56"/>
      <c r="I55" s="8"/>
      <c r="J55" s="8"/>
      <c r="K55" s="33"/>
      <c r="L55" s="35"/>
      <c r="M55" s="35"/>
      <c r="N55" s="35"/>
      <c r="O55" s="124"/>
    </row>
    <row r="56" spans="2:18" x14ac:dyDescent="0.25">
      <c r="B56" s="3" t="s">
        <v>273</v>
      </c>
      <c r="C56" s="8" t="s">
        <v>283</v>
      </c>
      <c r="D56" s="8">
        <v>600000</v>
      </c>
      <c r="E56" s="8">
        <v>120000</v>
      </c>
      <c r="F56" s="8">
        <v>50</v>
      </c>
      <c r="G56" s="8">
        <f>Conversion!D193</f>
        <v>82.572395833333331</v>
      </c>
      <c r="H56" s="56">
        <f>IFERROR(HLOOKUP($C56,Conversion!$D$183:$D$194,ROWS(Conversion!$C$183:$C$194),0),0)</f>
        <v>1.0425807554713805E-2</v>
      </c>
      <c r="I56" s="8">
        <v>250</v>
      </c>
      <c r="J56" s="8">
        <f t="shared" si="1"/>
        <v>2.6064518886784511</v>
      </c>
      <c r="K56" s="33"/>
      <c r="L56" s="35"/>
      <c r="M56" s="35"/>
      <c r="N56" s="35"/>
      <c r="O56" s="124"/>
    </row>
    <row r="57" spans="2:18" x14ac:dyDescent="0.25">
      <c r="B57" s="3"/>
      <c r="C57" s="9"/>
      <c r="D57" s="9"/>
      <c r="E57" s="9"/>
      <c r="F57" s="9"/>
      <c r="G57" s="9"/>
      <c r="H57" s="9"/>
      <c r="I57" s="9"/>
      <c r="J57" s="9"/>
    </row>
    <row r="58" spans="2:18" x14ac:dyDescent="0.25">
      <c r="B58" s="3" t="s">
        <v>621</v>
      </c>
      <c r="C58" s="9" t="s">
        <v>622</v>
      </c>
      <c r="D58" s="9">
        <v>60000</v>
      </c>
      <c r="E58" s="9">
        <v>1800</v>
      </c>
      <c r="F58" s="9">
        <v>10</v>
      </c>
      <c r="G58" s="9">
        <f>Conversion!D159</f>
        <v>0</v>
      </c>
      <c r="H58" s="9">
        <f>Conversion!D160</f>
        <v>0</v>
      </c>
      <c r="I58" s="9">
        <v>15</v>
      </c>
      <c r="J58" s="8">
        <f t="shared" si="1"/>
        <v>0</v>
      </c>
    </row>
    <row r="59" spans="2:18" x14ac:dyDescent="0.25">
      <c r="B59" s="3"/>
      <c r="C59" s="9"/>
      <c r="D59" s="9"/>
      <c r="E59" s="9"/>
      <c r="F59" s="9"/>
      <c r="G59" s="9"/>
      <c r="H59" s="9"/>
      <c r="I59" s="9"/>
      <c r="J59" s="9"/>
    </row>
    <row r="60" spans="2:18" x14ac:dyDescent="0.25">
      <c r="B60" s="3" t="s">
        <v>9</v>
      </c>
      <c r="C60" s="9"/>
      <c r="D60" s="9"/>
      <c r="E60" s="9"/>
      <c r="F60" s="9"/>
      <c r="G60" s="9"/>
      <c r="H60" s="9"/>
      <c r="I60" s="9"/>
      <c r="J60" s="9"/>
    </row>
    <row r="61" spans="2:18" x14ac:dyDescent="0.25">
      <c r="J61" s="57"/>
      <c r="R61" s="57"/>
    </row>
    <row r="62" spans="2:18" s="17" customFormat="1" x14ac:dyDescent="0.25">
      <c r="B62" s="16" t="s">
        <v>450</v>
      </c>
    </row>
    <row r="63" spans="2:18" s="17" customFormat="1" x14ac:dyDescent="0.25">
      <c r="B63" s="18" t="s">
        <v>1</v>
      </c>
      <c r="C63" s="18" t="s">
        <v>451</v>
      </c>
      <c r="D63" s="18" t="str">
        <f>Input!A112</f>
        <v>Euro</v>
      </c>
      <c r="E63" s="18" t="str">
        <f>Input!C5</f>
        <v>INR</v>
      </c>
      <c r="F63" s="18" t="s">
        <v>423</v>
      </c>
    </row>
    <row r="64" spans="2:18" s="17" customFormat="1" x14ac:dyDescent="0.25">
      <c r="B64" s="19" t="s">
        <v>452</v>
      </c>
      <c r="C64" s="20">
        <v>3032.5553838459255</v>
      </c>
      <c r="D64" s="85">
        <f>_xlfn.XLOOKUP($E$151,Input!$A$112:$A$113,Input!$C$112:$C$113)</f>
        <v>104.27</v>
      </c>
      <c r="E64" s="86">
        <f>D64*C64</f>
        <v>316204.54987361463</v>
      </c>
      <c r="F64" s="19" t="s">
        <v>453</v>
      </c>
      <c r="I64" s="87"/>
    </row>
    <row r="65" spans="2:11" s="17" customFormat="1" x14ac:dyDescent="0.25">
      <c r="B65" s="19" t="s">
        <v>454</v>
      </c>
      <c r="C65" s="20">
        <v>1299.6665930768252</v>
      </c>
      <c r="D65" s="85">
        <f>_xlfn.XLOOKUP($E$151,Input!$A$112:$A$113,Input!$C$112:$C$113)</f>
        <v>104.27</v>
      </c>
      <c r="E65" s="86">
        <f t="shared" ref="E65:E78" si="2">D65*C65</f>
        <v>135516.23566012055</v>
      </c>
      <c r="F65" s="19" t="s">
        <v>455</v>
      </c>
      <c r="I65" s="87"/>
    </row>
    <row r="66" spans="2:11" s="17" customFormat="1" x14ac:dyDescent="0.25">
      <c r="B66" s="19" t="s">
        <v>456</v>
      </c>
      <c r="C66" s="20">
        <v>21.661109884613793</v>
      </c>
      <c r="D66" s="85">
        <f>_xlfn.XLOOKUP($E$151,Input!$A$112:$A$113,Input!$C$112:$C$113)</f>
        <v>104.27</v>
      </c>
      <c r="E66" s="86">
        <f t="shared" si="2"/>
        <v>2258.6039276686802</v>
      </c>
      <c r="F66" s="19" t="s">
        <v>457</v>
      </c>
      <c r="I66" s="87"/>
    </row>
    <row r="67" spans="2:11" s="17" customFormat="1" x14ac:dyDescent="0.25">
      <c r="B67" s="19" t="s">
        <v>458</v>
      </c>
      <c r="C67" s="20">
        <v>36.101849807689653</v>
      </c>
      <c r="D67" s="85">
        <f>_xlfn.XLOOKUP($E$151,Input!$A$112:$A$113,Input!$C$112:$C$113)</f>
        <v>104.27</v>
      </c>
      <c r="E67" s="86">
        <f t="shared" si="2"/>
        <v>3764.3398794477998</v>
      </c>
      <c r="F67" s="19" t="s">
        <v>459</v>
      </c>
      <c r="I67" s="87"/>
    </row>
    <row r="68" spans="2:11" s="17" customFormat="1" x14ac:dyDescent="0.25">
      <c r="B68" s="19" t="s">
        <v>460</v>
      </c>
      <c r="C68" s="20">
        <v>475.36588600083832</v>
      </c>
      <c r="D68" s="85">
        <f>_xlfn.XLOOKUP($E$151,Input!$A$112:$A$113,Input!$C$112:$C$113)</f>
        <v>104.27</v>
      </c>
      <c r="E68" s="86">
        <f t="shared" si="2"/>
        <v>49566.400933307406</v>
      </c>
      <c r="F68" s="19" t="s">
        <v>461</v>
      </c>
      <c r="I68" s="87"/>
    </row>
    <row r="69" spans="2:11" s="17" customFormat="1" x14ac:dyDescent="0.25">
      <c r="B69" s="19" t="s">
        <v>462</v>
      </c>
      <c r="C69" s="20">
        <v>858.61238251304724</v>
      </c>
      <c r="D69" s="85">
        <f>_xlfn.XLOOKUP($E$151,Input!$A$112:$A$113,Input!$C$112:$C$113)</f>
        <v>104.27</v>
      </c>
      <c r="E69" s="86">
        <f t="shared" si="2"/>
        <v>89527.513124635429</v>
      </c>
      <c r="F69" s="19" t="s">
        <v>463</v>
      </c>
      <c r="I69" s="87"/>
    </row>
    <row r="70" spans="2:11" s="17" customFormat="1" x14ac:dyDescent="0.25">
      <c r="B70" s="19" t="s">
        <v>464</v>
      </c>
      <c r="C70" s="20">
        <v>1723.937918915954</v>
      </c>
      <c r="D70" s="85">
        <f>_xlfn.XLOOKUP($E$151,Input!$A$112:$A$113,Input!$C$112:$C$113)</f>
        <v>104.27</v>
      </c>
      <c r="E70" s="86">
        <f t="shared" si="2"/>
        <v>179755.00680536652</v>
      </c>
      <c r="F70" s="19" t="s">
        <v>465</v>
      </c>
      <c r="I70" s="87"/>
    </row>
    <row r="71" spans="2:11" s="17" customFormat="1" x14ac:dyDescent="0.25">
      <c r="B71" s="19" t="s">
        <v>466</v>
      </c>
      <c r="C71" s="20">
        <v>2435.5322312410749</v>
      </c>
      <c r="D71" s="85">
        <f>_xlfn.XLOOKUP($E$151,Input!$A$112:$A$113,Input!$C$112:$C$113)</f>
        <v>104.27</v>
      </c>
      <c r="E71" s="86">
        <f t="shared" si="2"/>
        <v>253952.94575150686</v>
      </c>
      <c r="F71" s="19" t="s">
        <v>467</v>
      </c>
      <c r="I71" s="87"/>
    </row>
    <row r="72" spans="2:11" s="17" customFormat="1" x14ac:dyDescent="0.25">
      <c r="B72" s="19" t="s">
        <v>468</v>
      </c>
      <c r="C72" s="20">
        <v>1181.5150846152956</v>
      </c>
      <c r="D72" s="85">
        <f>_xlfn.XLOOKUP($E$151,Input!$A$112:$A$113,Input!$C$112:$C$113)</f>
        <v>104.27</v>
      </c>
      <c r="E72" s="86">
        <f t="shared" si="2"/>
        <v>123196.57787283686</v>
      </c>
      <c r="F72" s="19" t="s">
        <v>469</v>
      </c>
      <c r="I72" s="87"/>
    </row>
    <row r="73" spans="2:11" s="17" customFormat="1" x14ac:dyDescent="0.25">
      <c r="B73" s="19" t="s">
        <v>470</v>
      </c>
      <c r="C73" s="20">
        <v>1474.6561378058329</v>
      </c>
      <c r="D73" s="85">
        <f>_xlfn.XLOOKUP($E$151,Input!$A$112:$A$113,Input!$C$112:$C$113)</f>
        <v>104.27</v>
      </c>
      <c r="E73" s="86">
        <f t="shared" si="2"/>
        <v>153762.39548901419</v>
      </c>
      <c r="F73" s="19" t="s">
        <v>471</v>
      </c>
      <c r="I73" s="87"/>
    </row>
    <row r="74" spans="2:11" s="17" customFormat="1" x14ac:dyDescent="0.25">
      <c r="B74" s="19" t="s">
        <v>472</v>
      </c>
      <c r="C74" s="20">
        <v>648.49066576044061</v>
      </c>
      <c r="D74" s="85">
        <f>_xlfn.XLOOKUP($E$151,Input!$A$112:$A$113,Input!$C$112:$C$113)</f>
        <v>104.27</v>
      </c>
      <c r="E74" s="86">
        <f t="shared" si="2"/>
        <v>67618.121718841139</v>
      </c>
      <c r="F74" s="19" t="s">
        <v>473</v>
      </c>
      <c r="I74" s="87"/>
    </row>
    <row r="75" spans="2:11" s="17" customFormat="1" x14ac:dyDescent="0.25">
      <c r="B75" s="19" t="s">
        <v>474</v>
      </c>
      <c r="C75" s="20">
        <v>723.52880812931608</v>
      </c>
      <c r="D75" s="85">
        <f>_xlfn.XLOOKUP($E$151,Input!$A$112:$A$113,Input!$C$112:$C$113)</f>
        <v>104.27</v>
      </c>
      <c r="E75" s="86">
        <f t="shared" si="2"/>
        <v>75442.348823643784</v>
      </c>
      <c r="F75" s="19" t="s">
        <v>475</v>
      </c>
      <c r="I75" s="87"/>
    </row>
    <row r="76" spans="2:11" s="17" customFormat="1" x14ac:dyDescent="0.25">
      <c r="B76" s="19" t="s">
        <v>476</v>
      </c>
      <c r="C76" s="20">
        <v>648.49066576044061</v>
      </c>
      <c r="D76" s="85">
        <f>_xlfn.XLOOKUP($E$151,Input!$A$112:$A$113,Input!$C$112:$C$113)</f>
        <v>104.27</v>
      </c>
      <c r="E76" s="86">
        <f t="shared" si="2"/>
        <v>67618.121718841139</v>
      </c>
      <c r="F76" s="19" t="s">
        <v>477</v>
      </c>
      <c r="I76" s="87"/>
    </row>
    <row r="77" spans="2:11" s="17" customFormat="1" x14ac:dyDescent="0.25">
      <c r="B77" s="19" t="s">
        <v>478</v>
      </c>
      <c r="C77" s="20">
        <v>1456.0114717357296</v>
      </c>
      <c r="D77" s="85">
        <f>_xlfn.XLOOKUP($E$151,Input!$A$112:$A$113,Input!$C$112:$C$113)</f>
        <v>104.27</v>
      </c>
      <c r="E77" s="86">
        <f t="shared" si="2"/>
        <v>151818.31615788452</v>
      </c>
      <c r="F77" s="19" t="s">
        <v>479</v>
      </c>
      <c r="I77" s="87"/>
    </row>
    <row r="78" spans="2:11" s="17" customFormat="1" x14ac:dyDescent="0.25">
      <c r="B78" s="19" t="s">
        <v>480</v>
      </c>
      <c r="C78" s="20">
        <f>SUM(C64:C77)*10%</f>
        <v>1601.6126189093027</v>
      </c>
      <c r="D78" s="85">
        <f>_xlfn.XLOOKUP($E$151,Input!$A$112:$A$113,Input!$C$112:$C$113)</f>
        <v>104.27</v>
      </c>
      <c r="E78" s="86">
        <f t="shared" si="2"/>
        <v>167000.14777367297</v>
      </c>
      <c r="F78" s="19" t="s">
        <v>481</v>
      </c>
    </row>
    <row r="79" spans="2:11" s="17" customFormat="1" x14ac:dyDescent="0.25">
      <c r="B79" s="22" t="s">
        <v>482</v>
      </c>
      <c r="C79" s="23">
        <f>SUM(C64:C78)</f>
        <v>17617.738808002327</v>
      </c>
      <c r="E79" s="23">
        <f>SUM(E64:E78)</f>
        <v>1837001.6255104025</v>
      </c>
      <c r="F79" s="19"/>
      <c r="G79" s="21"/>
      <c r="H79" s="21"/>
      <c r="I79" s="21"/>
      <c r="J79" s="21"/>
      <c r="K79" s="21"/>
    </row>
    <row r="80" spans="2:11" s="17" customFormat="1" x14ac:dyDescent="0.25"/>
    <row r="81" spans="2:6" s="17" customFormat="1" x14ac:dyDescent="0.25"/>
    <row r="82" spans="2:6" s="17" customFormat="1" x14ac:dyDescent="0.25">
      <c r="B82" s="24" t="s">
        <v>483</v>
      </c>
      <c r="C82" s="24" t="s">
        <v>484</v>
      </c>
      <c r="D82" s="24" t="s">
        <v>485</v>
      </c>
      <c r="E82" s="24" t="s">
        <v>486</v>
      </c>
      <c r="F82" s="24" t="s">
        <v>487</v>
      </c>
    </row>
    <row r="83" spans="2:6" s="17" customFormat="1" x14ac:dyDescent="0.25">
      <c r="B83" s="19" t="s">
        <v>488</v>
      </c>
      <c r="C83" s="19">
        <v>8</v>
      </c>
      <c r="D83" s="19">
        <f>C83*2</f>
        <v>16</v>
      </c>
      <c r="E83" s="19">
        <v>8</v>
      </c>
      <c r="F83" s="19">
        <v>16</v>
      </c>
    </row>
    <row r="84" spans="2:6" s="17" customFormat="1" x14ac:dyDescent="0.25">
      <c r="B84" s="19" t="s">
        <v>489</v>
      </c>
      <c r="C84" s="19">
        <v>11</v>
      </c>
      <c r="D84" s="19">
        <f t="shared" ref="D84:D88" si="3">C84*2</f>
        <v>22</v>
      </c>
      <c r="E84" s="19">
        <v>10</v>
      </c>
      <c r="F84" s="19">
        <v>20</v>
      </c>
    </row>
    <row r="85" spans="2:6" s="17" customFormat="1" x14ac:dyDescent="0.25">
      <c r="B85" s="19" t="s">
        <v>490</v>
      </c>
      <c r="C85" s="19">
        <v>11</v>
      </c>
      <c r="D85" s="19">
        <f t="shared" si="3"/>
        <v>22</v>
      </c>
      <c r="E85" s="19">
        <v>10</v>
      </c>
      <c r="F85" s="19">
        <v>20</v>
      </c>
    </row>
    <row r="86" spans="2:6" s="17" customFormat="1" x14ac:dyDescent="0.25">
      <c r="B86" s="19" t="s">
        <v>491</v>
      </c>
      <c r="C86" s="19">
        <v>14</v>
      </c>
      <c r="D86" s="19">
        <f t="shared" si="3"/>
        <v>28</v>
      </c>
      <c r="E86" s="19">
        <v>12</v>
      </c>
      <c r="F86" s="19">
        <v>24</v>
      </c>
    </row>
    <row r="87" spans="2:6" s="17" customFormat="1" x14ac:dyDescent="0.25">
      <c r="B87" s="19" t="s">
        <v>492</v>
      </c>
      <c r="C87" s="19">
        <v>11</v>
      </c>
      <c r="D87" s="19">
        <f t="shared" si="3"/>
        <v>22</v>
      </c>
      <c r="E87" s="19">
        <v>10</v>
      </c>
      <c r="F87" s="19">
        <v>20</v>
      </c>
    </row>
    <row r="88" spans="2:6" s="17" customFormat="1" x14ac:dyDescent="0.25">
      <c r="B88" s="19" t="s">
        <v>493</v>
      </c>
      <c r="C88" s="19">
        <v>24</v>
      </c>
      <c r="D88" s="19">
        <f t="shared" si="3"/>
        <v>48</v>
      </c>
      <c r="E88" s="19">
        <v>21</v>
      </c>
      <c r="F88" s="19">
        <v>42</v>
      </c>
    </row>
    <row r="89" spans="2:6" s="17" customFormat="1" x14ac:dyDescent="0.25"/>
    <row r="90" spans="2:6" x14ac:dyDescent="0.25">
      <c r="B90" s="11" t="s">
        <v>494</v>
      </c>
    </row>
    <row r="91" spans="2:6" x14ac:dyDescent="0.25">
      <c r="B91" s="3" t="s">
        <v>484</v>
      </c>
    </row>
    <row r="92" spans="2:6" x14ac:dyDescent="0.25">
      <c r="B92" s="3" t="s">
        <v>485</v>
      </c>
    </row>
    <row r="93" spans="2:6" x14ac:dyDescent="0.25">
      <c r="B93" s="3" t="s">
        <v>486</v>
      </c>
    </row>
    <row r="94" spans="2:6" x14ac:dyDescent="0.25">
      <c r="B94" s="3" t="s">
        <v>487</v>
      </c>
    </row>
    <row r="96" spans="2:6" x14ac:dyDescent="0.25">
      <c r="B96" s="58" t="s">
        <v>198</v>
      </c>
      <c r="C96" s="58" t="s">
        <v>65</v>
      </c>
      <c r="D96" s="58" t="s">
        <v>495</v>
      </c>
      <c r="E96" s="58" t="s">
        <v>496</v>
      </c>
      <c r="F96" s="58" t="s">
        <v>497</v>
      </c>
    </row>
    <row r="97" spans="2:6" x14ac:dyDescent="0.25">
      <c r="B97" s="59" t="s">
        <v>199</v>
      </c>
      <c r="C97" s="59">
        <v>1</v>
      </c>
      <c r="D97" s="59" t="str">
        <f>B97&amp;C97</f>
        <v>Offset1</v>
      </c>
      <c r="E97" s="60">
        <v>15</v>
      </c>
      <c r="F97" s="60">
        <v>6</v>
      </c>
    </row>
    <row r="98" spans="2:6" x14ac:dyDescent="0.25">
      <c r="B98" s="59" t="s">
        <v>199</v>
      </c>
      <c r="C98" s="59">
        <v>2</v>
      </c>
      <c r="D98" s="59" t="str">
        <f t="shared" ref="D98:D108" si="4">B98&amp;C98</f>
        <v>Offset2</v>
      </c>
      <c r="E98" s="60">
        <v>25</v>
      </c>
      <c r="F98" s="60">
        <v>10</v>
      </c>
    </row>
    <row r="99" spans="2:6" x14ac:dyDescent="0.25">
      <c r="B99" s="59" t="s">
        <v>199</v>
      </c>
      <c r="C99" s="59">
        <v>3</v>
      </c>
      <c r="D99" s="59" t="str">
        <f t="shared" si="4"/>
        <v>Offset3</v>
      </c>
      <c r="E99" s="60">
        <v>35</v>
      </c>
      <c r="F99" s="60">
        <v>14</v>
      </c>
    </row>
    <row r="100" spans="2:6" x14ac:dyDescent="0.25">
      <c r="B100" s="59" t="s">
        <v>199</v>
      </c>
      <c r="C100" s="59">
        <v>4</v>
      </c>
      <c r="D100" s="59" t="str">
        <f t="shared" si="4"/>
        <v>Offset4</v>
      </c>
      <c r="E100" s="60">
        <v>45</v>
      </c>
      <c r="F100" s="60">
        <v>15</v>
      </c>
    </row>
    <row r="101" spans="2:6" x14ac:dyDescent="0.25">
      <c r="B101" s="59" t="s">
        <v>199</v>
      </c>
      <c r="C101" s="59">
        <v>5</v>
      </c>
      <c r="D101" s="59" t="str">
        <f t="shared" si="4"/>
        <v>Offset5</v>
      </c>
      <c r="E101" s="60">
        <v>45</v>
      </c>
      <c r="F101" s="60">
        <v>15</v>
      </c>
    </row>
    <row r="102" spans="2:6" x14ac:dyDescent="0.25">
      <c r="B102" s="59" t="s">
        <v>199</v>
      </c>
      <c r="C102" s="59">
        <v>6</v>
      </c>
      <c r="D102" s="59" t="str">
        <f t="shared" si="4"/>
        <v>Offset6</v>
      </c>
      <c r="E102" s="60">
        <v>45</v>
      </c>
      <c r="F102" s="60">
        <v>15</v>
      </c>
    </row>
    <row r="103" spans="2:6" x14ac:dyDescent="0.25">
      <c r="B103" s="59" t="s">
        <v>199</v>
      </c>
      <c r="C103" s="59">
        <v>7</v>
      </c>
      <c r="D103" s="59" t="str">
        <f t="shared" si="4"/>
        <v>Offset7</v>
      </c>
      <c r="E103" s="60">
        <v>45</v>
      </c>
      <c r="F103" s="60">
        <v>15</v>
      </c>
    </row>
    <row r="104" spans="2:6" x14ac:dyDescent="0.25">
      <c r="B104" s="59" t="s">
        <v>199</v>
      </c>
      <c r="C104" s="59">
        <v>8</v>
      </c>
      <c r="D104" s="59" t="str">
        <f t="shared" si="4"/>
        <v>Offset8</v>
      </c>
      <c r="E104" s="60">
        <v>45</v>
      </c>
      <c r="F104" s="60">
        <v>15</v>
      </c>
    </row>
    <row r="105" spans="2:6" x14ac:dyDescent="0.25">
      <c r="B105" s="59" t="s">
        <v>199</v>
      </c>
      <c r="C105" s="59">
        <v>9</v>
      </c>
      <c r="D105" s="59" t="str">
        <f t="shared" si="4"/>
        <v>Offset9</v>
      </c>
      <c r="E105" s="60">
        <v>45</v>
      </c>
      <c r="F105" s="60">
        <v>15</v>
      </c>
    </row>
    <row r="106" spans="2:6" x14ac:dyDescent="0.25">
      <c r="B106" s="59" t="s">
        <v>199</v>
      </c>
      <c r="C106" s="59">
        <v>10</v>
      </c>
      <c r="D106" s="59" t="str">
        <f t="shared" si="4"/>
        <v>Offset10</v>
      </c>
      <c r="E106" s="60">
        <v>45</v>
      </c>
      <c r="F106" s="60">
        <v>15</v>
      </c>
    </row>
    <row r="107" spans="2:6" x14ac:dyDescent="0.25">
      <c r="B107" s="59" t="s">
        <v>199</v>
      </c>
      <c r="C107" s="59">
        <v>11</v>
      </c>
      <c r="D107" s="59" t="str">
        <f t="shared" si="4"/>
        <v>Offset11</v>
      </c>
      <c r="E107" s="60">
        <v>45</v>
      </c>
      <c r="F107" s="60">
        <v>15</v>
      </c>
    </row>
    <row r="108" spans="2:6" x14ac:dyDescent="0.25">
      <c r="B108" s="59" t="s">
        <v>199</v>
      </c>
      <c r="C108" s="59">
        <v>12</v>
      </c>
      <c r="D108" s="59" t="str">
        <f t="shared" si="4"/>
        <v>Offset12</v>
      </c>
      <c r="E108" s="60">
        <v>45</v>
      </c>
      <c r="F108" s="60">
        <v>15</v>
      </c>
    </row>
    <row r="109" spans="2:6" x14ac:dyDescent="0.25">
      <c r="B109" s="59" t="s">
        <v>498</v>
      </c>
      <c r="C109" s="59"/>
      <c r="D109" s="59"/>
      <c r="E109" s="60">
        <v>30</v>
      </c>
      <c r="F109" s="59"/>
    </row>
    <row r="110" spans="2:6" x14ac:dyDescent="0.25">
      <c r="B110" s="59" t="s">
        <v>498</v>
      </c>
      <c r="C110" s="59"/>
      <c r="D110" s="59"/>
      <c r="E110" s="60">
        <v>30</v>
      </c>
      <c r="F110" s="59"/>
    </row>
    <row r="111" spans="2:6" x14ac:dyDescent="0.25">
      <c r="B111" s="59"/>
      <c r="C111" s="59"/>
      <c r="D111" s="59"/>
      <c r="E111" s="59"/>
      <c r="F111" s="59"/>
    </row>
    <row r="112" spans="2:6" x14ac:dyDescent="0.25">
      <c r="B112" s="59"/>
      <c r="C112" s="59"/>
      <c r="D112" s="59"/>
      <c r="E112" s="59"/>
      <c r="F112" s="59"/>
    </row>
    <row r="113" spans="2:6" x14ac:dyDescent="0.25">
      <c r="B113" s="59"/>
      <c r="C113" s="59"/>
      <c r="D113" s="59"/>
      <c r="E113" s="59"/>
      <c r="F113" s="59"/>
    </row>
    <row r="116" spans="2:6" x14ac:dyDescent="0.25">
      <c r="B116" s="61" t="s">
        <v>499</v>
      </c>
      <c r="C116" s="61" t="s">
        <v>500</v>
      </c>
      <c r="D116" s="61" t="s">
        <v>501</v>
      </c>
    </row>
    <row r="117" spans="2:6" x14ac:dyDescent="0.25">
      <c r="B117" s="3" t="s">
        <v>80</v>
      </c>
      <c r="C117" s="3">
        <v>1020</v>
      </c>
      <c r="D117" s="3">
        <v>720</v>
      </c>
    </row>
    <row r="118" spans="2:6" x14ac:dyDescent="0.25">
      <c r="B118" s="3" t="s">
        <v>502</v>
      </c>
      <c r="C118" s="3">
        <v>1420</v>
      </c>
      <c r="D118" s="3">
        <v>1020</v>
      </c>
    </row>
    <row r="119" spans="2:6" x14ac:dyDescent="0.25">
      <c r="B119" s="3" t="s">
        <v>503</v>
      </c>
      <c r="C119" s="3">
        <v>1450</v>
      </c>
      <c r="D119" s="3">
        <v>1020</v>
      </c>
    </row>
    <row r="120" spans="2:6" x14ac:dyDescent="0.25">
      <c r="B120" s="3"/>
      <c r="C120" s="3"/>
      <c r="D120" s="3"/>
    </row>
    <row r="122" spans="2:6" x14ac:dyDescent="0.25">
      <c r="B122" s="62" t="s">
        <v>82</v>
      </c>
    </row>
    <row r="123" spans="2:6" x14ac:dyDescent="0.25">
      <c r="B123" s="40" t="s">
        <v>83</v>
      </c>
    </row>
    <row r="124" spans="2:6" x14ac:dyDescent="0.25">
      <c r="B124" s="40" t="s">
        <v>504</v>
      </c>
    </row>
    <row r="126" spans="2:6" x14ac:dyDescent="0.25">
      <c r="B126" s="62" t="s">
        <v>6</v>
      </c>
    </row>
    <row r="127" spans="2:6" x14ac:dyDescent="0.25">
      <c r="B127" s="40" t="s">
        <v>505</v>
      </c>
    </row>
    <row r="128" spans="2:6" x14ac:dyDescent="0.25">
      <c r="B128" s="40" t="s">
        <v>506</v>
      </c>
    </row>
    <row r="130" spans="2:3" x14ac:dyDescent="0.25">
      <c r="B130" s="62" t="s">
        <v>507</v>
      </c>
    </row>
    <row r="131" spans="2:3" x14ac:dyDescent="0.25">
      <c r="B131" s="40" t="s">
        <v>508</v>
      </c>
    </row>
    <row r="132" spans="2:3" x14ac:dyDescent="0.25">
      <c r="B132" s="40" t="s">
        <v>90</v>
      </c>
    </row>
    <row r="134" spans="2:3" x14ac:dyDescent="0.25">
      <c r="B134" s="62" t="s">
        <v>118</v>
      </c>
    </row>
    <row r="135" spans="2:3" x14ac:dyDescent="0.25">
      <c r="B135" s="40" t="s">
        <v>119</v>
      </c>
    </row>
    <row r="136" spans="2:3" x14ac:dyDescent="0.25">
      <c r="B136" s="40" t="s">
        <v>145</v>
      </c>
    </row>
    <row r="138" spans="2:3" x14ac:dyDescent="0.25">
      <c r="B138" s="63" t="s">
        <v>509</v>
      </c>
      <c r="C138" s="27">
        <v>5000</v>
      </c>
    </row>
    <row r="140" spans="2:3" x14ac:dyDescent="0.25">
      <c r="B140" s="62" t="s">
        <v>510</v>
      </c>
    </row>
    <row r="141" spans="2:3" x14ac:dyDescent="0.25">
      <c r="B141" s="3" t="s">
        <v>511</v>
      </c>
    </row>
    <row r="142" spans="2:3" x14ac:dyDescent="0.25">
      <c r="B142" s="3" t="s">
        <v>512</v>
      </c>
    </row>
    <row r="143" spans="2:3" x14ac:dyDescent="0.25">
      <c r="B143" s="3" t="s">
        <v>513</v>
      </c>
    </row>
    <row r="144" spans="2:3" x14ac:dyDescent="0.25">
      <c r="B144" s="3" t="s">
        <v>92</v>
      </c>
    </row>
    <row r="145" spans="2:6" x14ac:dyDescent="0.25">
      <c r="B145" s="3" t="s">
        <v>514</v>
      </c>
    </row>
    <row r="146" spans="2:6" x14ac:dyDescent="0.25">
      <c r="B146" s="3" t="s">
        <v>515</v>
      </c>
    </row>
    <row r="147" spans="2:6" x14ac:dyDescent="0.25">
      <c r="B147" s="3" t="s">
        <v>99</v>
      </c>
    </row>
    <row r="148" spans="2:6" x14ac:dyDescent="0.25">
      <c r="B148" s="3" t="s">
        <v>516</v>
      </c>
    </row>
    <row r="149" spans="2:6" x14ac:dyDescent="0.25">
      <c r="B149" s="3" t="s">
        <v>517</v>
      </c>
    </row>
    <row r="150" spans="2:6" x14ac:dyDescent="0.25">
      <c r="B150" s="3"/>
    </row>
    <row r="151" spans="2:6" x14ac:dyDescent="0.25">
      <c r="D151" s="119" t="s">
        <v>451</v>
      </c>
      <c r="E151" s="119" t="str">
        <f>Input!A112</f>
        <v>Euro</v>
      </c>
      <c r="F151" s="119" t="str">
        <f>Input!C5</f>
        <v>INR</v>
      </c>
    </row>
    <row r="152" spans="2:6" x14ac:dyDescent="0.25">
      <c r="B152" s="120" t="s">
        <v>255</v>
      </c>
      <c r="C152" s="59" t="s">
        <v>518</v>
      </c>
      <c r="D152" s="121">
        <v>5</v>
      </c>
      <c r="E152" s="59">
        <f>_xlfn.XLOOKUP($E$151,Input!$A$112:$A$113,Input!$C$112:$C$113)</f>
        <v>104.27</v>
      </c>
      <c r="F152" s="109">
        <f t="shared" ref="F152:F157" si="5">E152*D152</f>
        <v>521.35</v>
      </c>
    </row>
    <row r="153" spans="2:6" x14ac:dyDescent="0.25">
      <c r="B153" s="120" t="s">
        <v>266</v>
      </c>
      <c r="C153" s="59" t="s">
        <v>518</v>
      </c>
      <c r="D153" s="121">
        <v>100</v>
      </c>
      <c r="E153" s="59">
        <f>_xlfn.XLOOKUP($E$151,Input!$A$112:$A$113,Input!$C$112:$C$113)</f>
        <v>104.27</v>
      </c>
      <c r="F153" s="109">
        <f t="shared" si="5"/>
        <v>10427</v>
      </c>
    </row>
    <row r="154" spans="2:6" x14ac:dyDescent="0.25">
      <c r="B154" s="120" t="s">
        <v>272</v>
      </c>
      <c r="C154" s="59" t="s">
        <v>518</v>
      </c>
      <c r="D154" s="121">
        <v>500</v>
      </c>
      <c r="E154" s="59">
        <f>_xlfn.XLOOKUP($E$151,Input!$A$112:$A$113,Input!$C$112:$C$113)</f>
        <v>104.27</v>
      </c>
      <c r="F154" s="109">
        <f t="shared" si="5"/>
        <v>52135</v>
      </c>
    </row>
    <row r="155" spans="2:6" x14ac:dyDescent="0.25">
      <c r="B155" s="120" t="s">
        <v>356</v>
      </c>
      <c r="C155" s="59" t="s">
        <v>518</v>
      </c>
      <c r="D155" s="121">
        <v>0.6</v>
      </c>
      <c r="E155" s="59">
        <f>_xlfn.XLOOKUP($E$151,Input!$A$112:$A$113,Input!$C$112:$C$113)</f>
        <v>104.27</v>
      </c>
      <c r="F155" s="109">
        <f t="shared" si="5"/>
        <v>62.561999999999998</v>
      </c>
    </row>
    <row r="156" spans="2:6" x14ac:dyDescent="0.25">
      <c r="B156" s="120" t="s">
        <v>357</v>
      </c>
      <c r="C156" s="59" t="s">
        <v>518</v>
      </c>
      <c r="D156" s="121">
        <v>0.25</v>
      </c>
      <c r="E156" s="59">
        <f>_xlfn.XLOOKUP($E$151,Input!$A$112:$A$113,Input!$C$112:$C$113)</f>
        <v>104.27</v>
      </c>
      <c r="F156" s="109">
        <f t="shared" si="5"/>
        <v>26.067499999999999</v>
      </c>
    </row>
    <row r="157" spans="2:6" x14ac:dyDescent="0.25">
      <c r="B157" s="120" t="s">
        <v>358</v>
      </c>
      <c r="C157" s="59" t="s">
        <v>518</v>
      </c>
      <c r="D157" s="59">
        <v>25</v>
      </c>
      <c r="E157" s="59">
        <f>_xlfn.XLOOKUP($E$151,Input!$A$112:$A$113,Input!$C$112:$C$113)</f>
        <v>104.27</v>
      </c>
      <c r="F157" s="109">
        <f t="shared" si="5"/>
        <v>2606.75</v>
      </c>
    </row>
  </sheetData>
  <mergeCells count="1">
    <mergeCell ref="L28:M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Summary</vt:lpstr>
      <vt:lpstr>Input</vt:lpstr>
      <vt:lpstr>Material</vt:lpstr>
      <vt:lpstr>Conversion</vt:lpstr>
      <vt:lpstr>Database</vt:lpstr>
      <vt:lpstr>Backup</vt:lpstr>
      <vt:lpstr>Database</vt:lpstr>
      <vt:lpstr>Dep_Sch_Others</vt:lpstr>
      <vt:lpstr>Depreciation_Sch</vt:lpstr>
      <vt:lpstr>Int_Sch_other</vt:lpstr>
      <vt:lpstr>Interest_Sch</vt:lpstr>
      <vt:lpstr>Machine</vt:lpstr>
      <vt:lpstr>Print_Changeover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Minoti Banerjee</dc:creator>
  <cp:keywords/>
  <dc:description/>
  <cp:lastModifiedBy>Brij Singh</cp:lastModifiedBy>
  <cp:revision/>
  <dcterms:created xsi:type="dcterms:W3CDTF">2025-10-06T03:38:02Z</dcterms:created>
  <dcterms:modified xsi:type="dcterms:W3CDTF">2025-12-11T11:53:52Z</dcterms:modified>
  <cp:category/>
  <cp:contentStatus/>
</cp:coreProperties>
</file>